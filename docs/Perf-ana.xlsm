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shaoyu_tao_intel_com/Documents/Desktop/"/>
    </mc:Choice>
  </mc:AlternateContent>
  <xr:revisionPtr revIDLastSave="647" documentId="8_{C5BE028D-1B36-4E24-9549-FF3357BC1FE6}" xr6:coauthVersionLast="47" xr6:coauthVersionMax="47" xr10:uidLastSave="{FDFE4EA2-04E2-41ED-9772-7967C9BA0EF7}"/>
  <bookViews>
    <workbookView xWindow="-120" yWindow="-120" windowWidth="29040" windowHeight="15840" xr2:uid="{5312EA6E-2D1C-41C2-ACCD-73DB76D848E9}"/>
  </bookViews>
  <sheets>
    <sheet name="Feedback" sheetId="6" r:id="rId1"/>
    <sheet name="Sheet1" sheetId="1" r:id="rId2"/>
    <sheet name="Sheet2" sheetId="2" r:id="rId3"/>
    <sheet name="Sheet3" sheetId="5" r:id="rId4"/>
    <sheet name="Sheet4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5" l="1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" i="5"/>
  <c r="W16" i="2"/>
  <c r="W17" i="2"/>
  <c r="W18" i="2"/>
  <c r="W19" i="2"/>
  <c r="W20" i="2"/>
  <c r="W21" i="2"/>
  <c r="W22" i="2"/>
  <c r="W23" i="2"/>
  <c r="BO29" i="2"/>
  <c r="BO30" i="2"/>
  <c r="BO31" i="2"/>
  <c r="BO32" i="2"/>
  <c r="BO33" i="2"/>
  <c r="BO34" i="2"/>
  <c r="BO35" i="2"/>
  <c r="BO36" i="2"/>
  <c r="AS29" i="2"/>
  <c r="AS30" i="2"/>
  <c r="AS31" i="2"/>
  <c r="AS32" i="2"/>
  <c r="AS33" i="2"/>
  <c r="AS34" i="2"/>
  <c r="AS35" i="2"/>
  <c r="AS36" i="2"/>
  <c r="W29" i="2"/>
  <c r="W30" i="2"/>
  <c r="W31" i="2"/>
  <c r="W32" i="2"/>
  <c r="W33" i="2"/>
  <c r="W34" i="2"/>
  <c r="W35" i="2"/>
  <c r="W36" i="2"/>
  <c r="BO16" i="2"/>
  <c r="BO17" i="2"/>
  <c r="BO18" i="2"/>
  <c r="BO19" i="2"/>
  <c r="BO20" i="2"/>
  <c r="BO21" i="2"/>
  <c r="BO22" i="2"/>
  <c r="BO23" i="2"/>
  <c r="AS16" i="2"/>
  <c r="AS17" i="2"/>
  <c r="AS18" i="2"/>
  <c r="AS19" i="2"/>
  <c r="AS20" i="2"/>
  <c r="AS21" i="2"/>
  <c r="AS22" i="2"/>
  <c r="AS23" i="2"/>
  <c r="BO10" i="2"/>
  <c r="BO9" i="2"/>
  <c r="BO8" i="2"/>
  <c r="BO7" i="2"/>
  <c r="BO6" i="2"/>
  <c r="BO5" i="2"/>
  <c r="BO4" i="2"/>
  <c r="BO3" i="2"/>
  <c r="AS10" i="2"/>
  <c r="AS9" i="2"/>
  <c r="AS8" i="2"/>
  <c r="AS7" i="2"/>
  <c r="AS6" i="2"/>
  <c r="AS5" i="2"/>
  <c r="AS4" i="2"/>
  <c r="AS3" i="2"/>
  <c r="W4" i="2"/>
  <c r="W5" i="2"/>
  <c r="W6" i="2"/>
  <c r="W7" i="2"/>
  <c r="W8" i="2"/>
  <c r="W9" i="2"/>
  <c r="W10" i="2"/>
  <c r="W3" i="2"/>
  <c r="BO7" i="1"/>
  <c r="BO6" i="1"/>
  <c r="BO5" i="1"/>
  <c r="BO4" i="1"/>
  <c r="BO3" i="1"/>
  <c r="AS7" i="1"/>
  <c r="AS6" i="1"/>
  <c r="AS5" i="1"/>
  <c r="AS4" i="1"/>
  <c r="AS3" i="1"/>
  <c r="W4" i="1"/>
  <c r="W5" i="1"/>
  <c r="W6" i="1"/>
  <c r="W7" i="1"/>
  <c r="W3" i="1"/>
</calcChain>
</file>

<file path=xl/sharedStrings.xml><?xml version="1.0" encoding="utf-8"?>
<sst xmlns="http://schemas.openxmlformats.org/spreadsheetml/2006/main" count="175" uniqueCount="55">
  <si>
    <t>thread_create-stack=2048</t>
  </si>
  <si>
    <t>1-&gt;1</t>
  </si>
  <si>
    <t>BM</t>
  </si>
  <si>
    <t>4-&gt;1</t>
  </si>
  <si>
    <t>4-&gt;4</t>
  </si>
  <si>
    <t>32-&gt;1</t>
  </si>
  <si>
    <t>32-&gt;8</t>
  </si>
  <si>
    <t>median</t>
  </si>
  <si>
    <t>Legacy VM</t>
  </si>
  <si>
    <t>TDVM</t>
  </si>
  <si>
    <t>thread_create-stack=2048,guard=1_mean</t>
  </si>
  <si>
    <t>:</t>
  </si>
  <si>
    <t>thread_create-stack=2048,guard=1_time_1</t>
  </si>
  <si>
    <t>thread_create-stack=2048,guard=1_time_2</t>
  </si>
  <si>
    <t>nof_threads</t>
  </si>
  <si>
    <t>mean</t>
  </si>
  <si>
    <t>nof_bindcore=1</t>
  </si>
  <si>
    <t>nof_bindcore=4</t>
  </si>
  <si>
    <t>nof_bindcore=8</t>
  </si>
  <si>
    <t>Time(total)  = Time( create_thread) * Nof_thrds + Time( switch ) + Time( thread_join)</t>
  </si>
  <si>
    <t>x2apic_send_IPI</t>
  </si>
  <si>
    <t>Count</t>
  </si>
  <si>
    <t>AVG TIME( ns )</t>
  </si>
  <si>
    <t>wake_up_new_task</t>
  </si>
  <si>
    <t>check_preempt_curr</t>
  </si>
  <si>
    <r>
      <t xml:space="preserve">kernel_clone()
    </t>
    </r>
    <r>
      <rPr>
        <sz val="11"/>
        <color rgb="FFFF0000"/>
        <rFont val="Calibri"/>
        <family val="2"/>
        <scheme val="minor"/>
      </rPr>
      <t>wake_up_new_task()</t>
    </r>
    <r>
      <rPr>
        <sz val="11"/>
        <color theme="1"/>
        <rFont val="Calibri"/>
        <family val="2"/>
        <charset val="134"/>
        <scheme val="minor"/>
      </rPr>
      <t xml:space="preserve">
        </t>
    </r>
    <r>
      <rPr>
        <sz val="11"/>
        <color rgb="FFFF0000"/>
        <rFont val="Calibri"/>
        <family val="2"/>
        <scheme val="minor"/>
      </rPr>
      <t>check_preempt_curr()</t>
    </r>
    <r>
      <rPr>
        <sz val="11"/>
        <color theme="1"/>
        <rFont val="Calibri"/>
        <family val="2"/>
        <charset val="134"/>
        <scheme val="minor"/>
      </rPr>
      <t xml:space="preserve">
            resched_curr()
                smp_send_reschedule()
                    native_smp_send_reschedule()
                        apic-&gt;send_IPI(cpu, RESCHEDULE_VECTOR)
                            </t>
    </r>
    <r>
      <rPr>
        <sz val="11"/>
        <color rgb="FFFF0000"/>
        <rFont val="Calibri"/>
        <family val="2"/>
        <scheme val="minor"/>
      </rPr>
      <t>x2apic_send_IPI()</t>
    </r>
    <r>
      <rPr>
        <sz val="11"/>
        <color theme="1"/>
        <rFont val="Calibri"/>
        <family val="2"/>
        <charset val="134"/>
        <scheme val="minor"/>
      </rPr>
      <t xml:space="preserve">
                            native_x2apic_icr_write()
                                wrmsrl(APIC_BASE_MSR + (APIC_ICR &gt;&gt; 4), ((__u64) id) &lt;&lt; 32 | low);</t>
    </r>
  </si>
  <si>
    <t>Page 6, as talked on Tuesday, we need 1 thread 1 core data for multiple ones (8 and 32).</t>
  </si>
  <si>
    <t>How many data you measured, what is the test method, we need simple description. Measurement is execution time, it longer, performance worse. </t>
  </si>
  <si>
    <t>You may refer the template or other finished report, to check which pages are missing.</t>
  </si>
  <si>
    <t>Page 7, legacy VM is 86% of BM for thread creation, still why?</t>
  </si>
  <si>
    <t>Page 8,  add one last column to cover TDVM/BM.</t>
  </si>
  <si>
    <t>Page 8, TDVM is 187% of legacy VM, still why?</t>
  </si>
  <si>
    <t>Page 9, conclusion 1: either compute-intensive, or memory-intensive, we need emon data for show if they are really compute intensive or memory-intensive. Even perf call stack is necessary.</t>
  </si>
  <si>
    <t>Page 9, conclusion 2: where can we find 40% from previous page? Why multiple-process has such behavior?</t>
  </si>
  <si>
    <r>
      <t>Page 5,</t>
    </r>
    <r>
      <rPr>
        <sz val="11"/>
        <color rgb="FFFF0000"/>
        <rFont val="Calibri"/>
        <family val="2"/>
        <scheme val="minor"/>
      </rPr>
      <t xml:space="preserve"> Guest OS and kernel version</t>
    </r>
    <r>
      <rPr>
        <sz val="11"/>
        <color theme="1"/>
        <rFont val="Calibri"/>
        <family val="2"/>
        <scheme val="minor"/>
      </rPr>
      <t xml:space="preserve"> for legacy VM and TD VM.</t>
    </r>
  </si>
  <si>
    <t>TBD</t>
  </si>
  <si>
    <t>Brief intro on TDX</t>
  </si>
  <si>
    <t>Logic that you choose specific test cases, core binding and so on</t>
  </si>
  <si>
    <t>README: How our validation team is going to repeat your work?</t>
  </si>
  <si>
    <t>SW Stack picture</t>
  </si>
  <si>
    <t>Explain on the performance drop diagram you got from other team, such as legend , how it associates with yours</t>
  </si>
  <si>
    <t>Page 8: you r still analyze Legacy VM and BM (however, page is about legacy VM and TDX)</t>
  </si>
  <si>
    <t>Done</t>
  </si>
  <si>
    <t>Todo</t>
  </si>
  <si>
    <t>??</t>
  </si>
  <si>
    <t xml:space="preserve"> ==&gt; Resolved</t>
  </si>
  <si>
    <r>
      <t xml:space="preserve">Runtime Configuration:
</t>
    </r>
    <r>
      <rPr>
        <sz val="11"/>
        <color rgb="FFFF0000"/>
        <rFont val="Calibri"/>
        <family val="2"/>
        <scheme val="minor"/>
      </rPr>
      <t>1. Create 1000 threads
2. Run on 8 Cores</t>
    </r>
  </si>
  <si>
    <t xml:space="preserve"> 是否可以省略BM 这部分？</t>
  </si>
  <si>
    <t>taskset 0x10  bench-thread_create</t>
  </si>
  <si>
    <t>copy_process()</t>
  </si>
  <si>
    <t>32 threads</t>
  </si>
  <si>
    <t>8 core</t>
  </si>
  <si>
    <t>加2行</t>
  </si>
  <si>
    <t xml:space="preserve"> KPI 定义，时间越长，表示性能越差</t>
  </si>
  <si>
    <t xml:space="preserve"> 找BM上Emon 数据，如果有则写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</si>
</sst>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1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color theme="5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</cellStyleXfs>
  <cellXfs count="72">
    <xf numFmtId="0" fontId="0" fillId="0" borderId="0" xfId="0"/>
    <xf numFmtId="0" fontId="0" fillId="0" borderId="0" xfId="0" applyAlignment="1">
      <alignment wrapText="1"/>
    </xf>
    <xf numFmtId="43" fontId="0" fillId="0" borderId="0" xfId="1" applyFont="1"/>
    <xf numFmtId="0" fontId="0" fillId="0" borderId="0" xfId="0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 applyBorder="1" applyAlignment="1">
      <alignment horizontal="right"/>
    </xf>
    <xf numFmtId="0" fontId="0" fillId="0" borderId="5" xfId="0" applyBorder="1" applyAlignment="1">
      <alignment horizontal="right"/>
    </xf>
    <xf numFmtId="43" fontId="0" fillId="0" borderId="5" xfId="0" applyNumberFormat="1" applyBorder="1" applyAlignment="1">
      <alignment horizontal="right"/>
    </xf>
    <xf numFmtId="43" fontId="0" fillId="0" borderId="7" xfId="1" applyFont="1" applyBorder="1" applyAlignment="1">
      <alignment horizontal="right"/>
    </xf>
    <xf numFmtId="43" fontId="0" fillId="0" borderId="8" xfId="0" applyNumberFormat="1" applyBorder="1" applyAlignment="1">
      <alignment horizontal="right"/>
    </xf>
    <xf numFmtId="43" fontId="0" fillId="0" borderId="4" xfId="1" applyFont="1" applyBorder="1" applyAlignment="1">
      <alignment horizontal="right"/>
    </xf>
    <xf numFmtId="43" fontId="0" fillId="0" borderId="6" xfId="1" applyFont="1" applyBorder="1" applyAlignment="1">
      <alignment horizontal="right"/>
    </xf>
    <xf numFmtId="43" fontId="0" fillId="0" borderId="5" xfId="1" applyFont="1" applyBorder="1" applyAlignment="1">
      <alignment horizontal="right"/>
    </xf>
    <xf numFmtId="43" fontId="0" fillId="0" borderId="8" xfId="1" applyFont="1" applyBorder="1" applyAlignment="1">
      <alignment horizontal="right"/>
    </xf>
    <xf numFmtId="43" fontId="0" fillId="0" borderId="5" xfId="1" applyFont="1" applyBorder="1" applyAlignment="1">
      <alignment horizontal="center"/>
    </xf>
    <xf numFmtId="43" fontId="0" fillId="0" borderId="4" xfId="1" applyFont="1" applyBorder="1"/>
    <xf numFmtId="43" fontId="0" fillId="0" borderId="0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4" xfId="1" applyFont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2" fillId="0" borderId="0" xfId="0" applyFont="1"/>
    <xf numFmtId="43" fontId="0" fillId="0" borderId="0" xfId="1" applyFont="1" applyAlignment="1">
      <alignment wrapText="1"/>
    </xf>
    <xf numFmtId="0" fontId="0" fillId="0" borderId="1" xfId="0" applyBorder="1"/>
    <xf numFmtId="0" fontId="0" fillId="0" borderId="2" xfId="0" applyBorder="1"/>
    <xf numFmtId="43" fontId="0" fillId="0" borderId="2" xfId="1" applyFont="1" applyBorder="1"/>
    <xf numFmtId="43" fontId="0" fillId="0" borderId="3" xfId="1" applyFont="1" applyBorder="1"/>
    <xf numFmtId="43" fontId="0" fillId="0" borderId="5" xfId="1" applyFont="1" applyBorder="1"/>
    <xf numFmtId="0" fontId="2" fillId="0" borderId="0" xfId="0" applyFont="1" applyBorder="1"/>
    <xf numFmtId="0" fontId="0" fillId="0" borderId="6" xfId="0" applyBorder="1"/>
    <xf numFmtId="0" fontId="0" fillId="0" borderId="7" xfId="0" applyBorder="1"/>
    <xf numFmtId="0" fontId="2" fillId="0" borderId="7" xfId="0" applyFont="1" applyBorder="1"/>
    <xf numFmtId="43" fontId="3" fillId="0" borderId="8" xfId="1" applyFont="1" applyBorder="1"/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0" fillId="0" borderId="1" xfId="1" applyFont="1" applyBorder="1" applyAlignment="1">
      <alignment horizontal="center"/>
    </xf>
    <xf numFmtId="43" fontId="0" fillId="0" borderId="2" xfId="1" applyFont="1" applyBorder="1" applyAlignment="1">
      <alignment horizontal="center"/>
    </xf>
    <xf numFmtId="43" fontId="0" fillId="0" borderId="3" xfId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3" xfId="0" applyFill="1" applyBorder="1"/>
    <xf numFmtId="0" fontId="0" fillId="0" borderId="15" xfId="0" applyFill="1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0" fontId="4" fillId="2" borderId="0" xfId="2"/>
    <xf numFmtId="0" fontId="6" fillId="4" borderId="0" xfId="4"/>
    <xf numFmtId="0" fontId="5" fillId="3" borderId="0" xfId="3"/>
    <xf numFmtId="0" fontId="0" fillId="5" borderId="0" xfId="0" applyFill="1"/>
    <xf numFmtId="43" fontId="0" fillId="0" borderId="12" xfId="1" applyFont="1" applyBorder="1"/>
    <xf numFmtId="43" fontId="0" fillId="0" borderId="14" xfId="1" applyFont="1" applyBorder="1"/>
    <xf numFmtId="43" fontId="7" fillId="0" borderId="14" xfId="1" applyFont="1" applyBorder="1"/>
    <xf numFmtId="43" fontId="0" fillId="0" borderId="17" xfId="1" applyFont="1" applyBorder="1"/>
    <xf numFmtId="43" fontId="0" fillId="0" borderId="14" xfId="1" applyFont="1" applyFill="1" applyBorder="1"/>
    <xf numFmtId="43" fontId="0" fillId="0" borderId="17" xfId="1" applyFont="1" applyFill="1" applyBorder="1"/>
    <xf numFmtId="43" fontId="0" fillId="0" borderId="0" xfId="1" applyFont="1" applyFill="1" applyBorder="1"/>
  </cellXfs>
  <cellStyles count="5">
    <cellStyle name="Bad" xfId="3" builtinId="27"/>
    <cellStyle name="Comma" xfId="1" builtinId="3"/>
    <cellStyle name="Good" xfId="2" builtinId="26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Sheet1!$B$3:$B$7</c:f>
              <c:strCache>
                <c:ptCount val="5"/>
                <c:pt idx="0">
                  <c:v>1-&gt;1</c:v>
                </c:pt>
                <c:pt idx="1">
                  <c:v>4-&gt;1</c:v>
                </c:pt>
                <c:pt idx="2">
                  <c:v>4-&gt;4</c:v>
                </c:pt>
                <c:pt idx="3">
                  <c:v>32-&gt;1</c:v>
                </c:pt>
                <c:pt idx="4">
                  <c:v>32-&gt;8</c:v>
                </c:pt>
              </c:strCache>
            </c:strRef>
          </c:cat>
          <c:val>
            <c:numRef>
              <c:f>Sheet1!$W$3:$W$7</c:f>
              <c:numCache>
                <c:formatCode>_(* #,##0.00_);_(* \(#,##0.00\);_(* "-"??_);_(@_)</c:formatCode>
                <c:ptCount val="5"/>
                <c:pt idx="0">
                  <c:v>12511.95</c:v>
                </c:pt>
                <c:pt idx="1">
                  <c:v>53676.25</c:v>
                </c:pt>
                <c:pt idx="2">
                  <c:v>97499.35</c:v>
                </c:pt>
                <c:pt idx="3">
                  <c:v>705213.5</c:v>
                </c:pt>
                <c:pt idx="4">
                  <c:v>1021675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7-428F-B6EB-1EC7499C27C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Sheet1!$B$3:$B$7</c:f>
              <c:strCache>
                <c:ptCount val="5"/>
                <c:pt idx="0">
                  <c:v>1-&gt;1</c:v>
                </c:pt>
                <c:pt idx="1">
                  <c:v>4-&gt;1</c:v>
                </c:pt>
                <c:pt idx="2">
                  <c:v>4-&gt;4</c:v>
                </c:pt>
                <c:pt idx="3">
                  <c:v>32-&gt;1</c:v>
                </c:pt>
                <c:pt idx="4">
                  <c:v>32-&gt;8</c:v>
                </c:pt>
              </c:strCache>
            </c:strRef>
          </c:cat>
          <c:val>
            <c:numRef>
              <c:f>Sheet1!$AS$3:$AS$7</c:f>
              <c:numCache>
                <c:formatCode>_(* #,##0.00_);_(* \(#,##0.00\);_(* "-"??_);_(@_)</c:formatCode>
                <c:ptCount val="5"/>
                <c:pt idx="0">
                  <c:v>15951.6</c:v>
                </c:pt>
                <c:pt idx="1">
                  <c:v>69518.600000000006</c:v>
                </c:pt>
                <c:pt idx="2">
                  <c:v>86684.75</c:v>
                </c:pt>
                <c:pt idx="3">
                  <c:v>871811</c:v>
                </c:pt>
                <c:pt idx="4">
                  <c:v>843875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87-428F-B6EB-1EC7499C27C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Sheet1!$B$3:$B$7</c:f>
              <c:strCache>
                <c:ptCount val="5"/>
                <c:pt idx="0">
                  <c:v>1-&gt;1</c:v>
                </c:pt>
                <c:pt idx="1">
                  <c:v>4-&gt;1</c:v>
                </c:pt>
                <c:pt idx="2">
                  <c:v>4-&gt;4</c:v>
                </c:pt>
                <c:pt idx="3">
                  <c:v>32-&gt;1</c:v>
                </c:pt>
                <c:pt idx="4">
                  <c:v>32-&gt;8</c:v>
                </c:pt>
              </c:strCache>
            </c:strRef>
          </c:cat>
          <c:val>
            <c:numRef>
              <c:f>Sheet1!$BO$3:$BO$7</c:f>
              <c:numCache>
                <c:formatCode>_(* #,##0.00_);_(* \(#,##0.00\);_(* "-"??_);_(@_)</c:formatCode>
                <c:ptCount val="5"/>
                <c:pt idx="0">
                  <c:v>16910.3</c:v>
                </c:pt>
                <c:pt idx="1">
                  <c:v>73183.149999999994</c:v>
                </c:pt>
                <c:pt idx="2">
                  <c:v>188586</c:v>
                </c:pt>
                <c:pt idx="3">
                  <c:v>939967.5</c:v>
                </c:pt>
                <c:pt idx="4">
                  <c:v>1581515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87-428F-B6EB-1EC7499C2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0122808"/>
        <c:axId val="710123136"/>
      </c:barChart>
      <c:catAx>
        <c:axId val="710122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23136"/>
        <c:crosses val="autoZero"/>
        <c:auto val="1"/>
        <c:lblAlgn val="ctr"/>
        <c:lblOffset val="100"/>
        <c:noMultiLvlLbl val="0"/>
      </c:catAx>
      <c:valAx>
        <c:axId val="71012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2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nof_bindcore=1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Sheet2!$B$3:$B$10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Sheet2!$W$3:$W$10</c:f>
              <c:numCache>
                <c:formatCode>_(* #,##0.00_);_(* \(#,##0.00\);_(* "-"??_);_(@_)</c:formatCode>
                <c:ptCount val="8"/>
                <c:pt idx="0">
                  <c:v>52347.55</c:v>
                </c:pt>
                <c:pt idx="1">
                  <c:v>138584</c:v>
                </c:pt>
                <c:pt idx="2">
                  <c:v>226708.5</c:v>
                </c:pt>
                <c:pt idx="3">
                  <c:v>314668.5</c:v>
                </c:pt>
                <c:pt idx="4">
                  <c:v>406371.5</c:v>
                </c:pt>
                <c:pt idx="5">
                  <c:v>498563.5</c:v>
                </c:pt>
                <c:pt idx="6">
                  <c:v>597434</c:v>
                </c:pt>
                <c:pt idx="7">
                  <c:v>695308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BC-4C1E-A465-BE7CB8CEBA97}"/>
            </c:ext>
          </c:extLst>
        </c:ser>
        <c:ser>
          <c:idx val="1"/>
          <c:order val="1"/>
          <c:tx>
            <c:v>nof_bindcore=4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Sheet2!$B$3:$B$10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Sheet2!$AS$3:$AS$10</c:f>
              <c:numCache>
                <c:formatCode>_(* #,##0.00_);_(* \(#,##0.00\);_(* "-"??_);_(@_)</c:formatCode>
                <c:ptCount val="8"/>
                <c:pt idx="0">
                  <c:v>99032.05</c:v>
                </c:pt>
                <c:pt idx="1">
                  <c:v>220246</c:v>
                </c:pt>
                <c:pt idx="2">
                  <c:v>347155.5</c:v>
                </c:pt>
                <c:pt idx="3">
                  <c:v>473527</c:v>
                </c:pt>
                <c:pt idx="4">
                  <c:v>596557.5</c:v>
                </c:pt>
                <c:pt idx="5">
                  <c:v>729188.5</c:v>
                </c:pt>
                <c:pt idx="6">
                  <c:v>845836.5</c:v>
                </c:pt>
                <c:pt idx="7">
                  <c:v>975660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BC-4C1E-A465-BE7CB8CEBA97}"/>
            </c:ext>
          </c:extLst>
        </c:ser>
        <c:ser>
          <c:idx val="2"/>
          <c:order val="2"/>
          <c:tx>
            <c:v>nof_bindcore=8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Sheet2!$B$3:$B$10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Sheet2!$BO$3:$BO$10</c:f>
              <c:numCache>
                <c:formatCode>_(* #,##0.00_);_(* \(#,##0.00\);_(* "-"??_);_(@_)</c:formatCode>
                <c:ptCount val="8"/>
                <c:pt idx="0">
                  <c:v>102473</c:v>
                </c:pt>
                <c:pt idx="1">
                  <c:v>232641</c:v>
                </c:pt>
                <c:pt idx="2">
                  <c:v>360995</c:v>
                </c:pt>
                <c:pt idx="3">
                  <c:v>489675.5</c:v>
                </c:pt>
                <c:pt idx="4">
                  <c:v>616779.5</c:v>
                </c:pt>
                <c:pt idx="5">
                  <c:v>735166.5</c:v>
                </c:pt>
                <c:pt idx="6">
                  <c:v>876417.5</c:v>
                </c:pt>
                <c:pt idx="7">
                  <c:v>1007395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BC-4C1E-A465-BE7CB8CEB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085760"/>
        <c:axId val="730778072"/>
      </c:scatterChart>
      <c:valAx>
        <c:axId val="891085760"/>
        <c:scaling>
          <c:orientation val="minMax"/>
          <c:max val="3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78072"/>
        <c:crosses val="autoZero"/>
        <c:crossBetween val="midCat"/>
        <c:majorUnit val="4"/>
        <c:minorUnit val="4"/>
      </c:valAx>
      <c:valAx>
        <c:axId val="73077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108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Legacy VM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Sheet2!$B$16:$B$23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Sheet2!$W$16:$W$23</c:f>
              <c:numCache>
                <c:formatCode>_(* #,##0.00_);_(* \(#,##0.00\);_(* "-"??_);_(@_)</c:formatCode>
                <c:ptCount val="8"/>
                <c:pt idx="0">
                  <c:v>70131.899999999994</c:v>
                </c:pt>
                <c:pt idx="1">
                  <c:v>188015.5</c:v>
                </c:pt>
                <c:pt idx="2">
                  <c:v>304121</c:v>
                </c:pt>
                <c:pt idx="3">
                  <c:v>415131.5</c:v>
                </c:pt>
                <c:pt idx="4">
                  <c:v>528757</c:v>
                </c:pt>
                <c:pt idx="5">
                  <c:v>644975.5</c:v>
                </c:pt>
                <c:pt idx="6">
                  <c:v>769853.5</c:v>
                </c:pt>
                <c:pt idx="7">
                  <c:v>890931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99-4AE0-97D8-0ADE4D90193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Sheet2!$B$16:$B$23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Sheet2!$AS$16:$AS$23</c:f>
              <c:numCache>
                <c:formatCode>_(* #,##0.00_);_(* \(#,##0.00\);_(* "-"??_);_(@_)</c:formatCode>
                <c:ptCount val="8"/>
                <c:pt idx="0">
                  <c:v>87578.75</c:v>
                </c:pt>
                <c:pt idx="1">
                  <c:v>199715</c:v>
                </c:pt>
                <c:pt idx="2">
                  <c:v>309040</c:v>
                </c:pt>
                <c:pt idx="3">
                  <c:v>419252</c:v>
                </c:pt>
                <c:pt idx="4">
                  <c:v>526645.5</c:v>
                </c:pt>
                <c:pt idx="5">
                  <c:v>631385.5</c:v>
                </c:pt>
                <c:pt idx="6">
                  <c:v>740186</c:v>
                </c:pt>
                <c:pt idx="7">
                  <c:v>838480.5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99-4AE0-97D8-0ADE4D90193A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Sheet2!$B$16:$B$23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Sheet2!$BO$16:$BO$23</c:f>
              <c:numCache>
                <c:formatCode>_(* #,##0.00_);_(* \(#,##0.00\);_(* "-"??_);_(@_)</c:formatCode>
                <c:ptCount val="8"/>
                <c:pt idx="0">
                  <c:v>90937.35</c:v>
                </c:pt>
                <c:pt idx="1">
                  <c:v>204390</c:v>
                </c:pt>
                <c:pt idx="2">
                  <c:v>320375.5</c:v>
                </c:pt>
                <c:pt idx="3">
                  <c:v>419953</c:v>
                </c:pt>
                <c:pt idx="4">
                  <c:v>533045</c:v>
                </c:pt>
                <c:pt idx="5">
                  <c:v>646810</c:v>
                </c:pt>
                <c:pt idx="6">
                  <c:v>750925.5</c:v>
                </c:pt>
                <c:pt idx="7">
                  <c:v>855868.5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99-4AE0-97D8-0ADE4D901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36160"/>
        <c:axId val="741743048"/>
      </c:scatterChart>
      <c:valAx>
        <c:axId val="741736160"/>
        <c:scaling>
          <c:orientation val="minMax"/>
          <c:max val="3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743048"/>
        <c:crosses val="autoZero"/>
        <c:crossBetween val="midCat"/>
        <c:majorUnit val="4"/>
      </c:valAx>
      <c:valAx>
        <c:axId val="74174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73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TDVM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Sheet2!$B$29:$B$36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Sheet2!$W$29:$W$36</c:f>
              <c:numCache>
                <c:formatCode>_(* #,##0.00_);_(* \(#,##0.00\);_(* "-"??_);_(@_)</c:formatCode>
                <c:ptCount val="8"/>
                <c:pt idx="0">
                  <c:v>73937.25</c:v>
                </c:pt>
                <c:pt idx="1">
                  <c:v>196132.5</c:v>
                </c:pt>
                <c:pt idx="2">
                  <c:v>314956.5</c:v>
                </c:pt>
                <c:pt idx="3">
                  <c:v>436073.5</c:v>
                </c:pt>
                <c:pt idx="4">
                  <c:v>550738</c:v>
                </c:pt>
                <c:pt idx="5">
                  <c:v>672739.5</c:v>
                </c:pt>
                <c:pt idx="6">
                  <c:v>795814</c:v>
                </c:pt>
                <c:pt idx="7">
                  <c:v>917317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D-4236-BCCA-700F23EDCEA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Sheet2!$B$29:$B$36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Sheet2!$AS$29:$AS$36</c:f>
              <c:numCache>
                <c:formatCode>_(* #,##0.00_);_(* \(#,##0.00\);_(* "-"??_);_(@_)</c:formatCode>
                <c:ptCount val="8"/>
                <c:pt idx="0">
                  <c:v>188273</c:v>
                </c:pt>
                <c:pt idx="1">
                  <c:v>409498</c:v>
                </c:pt>
                <c:pt idx="2">
                  <c:v>603855.5</c:v>
                </c:pt>
                <c:pt idx="3">
                  <c:v>806073</c:v>
                </c:pt>
                <c:pt idx="4">
                  <c:v>1008350</c:v>
                </c:pt>
                <c:pt idx="5">
                  <c:v>1202320</c:v>
                </c:pt>
                <c:pt idx="6">
                  <c:v>1389570</c:v>
                </c:pt>
                <c:pt idx="7">
                  <c:v>1574435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2D-4236-BCCA-700F23EDCEAF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Sheet2!$B$29:$B$36</c:f>
              <c:numCache>
                <c:formatCode>General</c:formatCode>
                <c:ptCount val="8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</c:numCache>
            </c:numRef>
          </c:xVal>
          <c:yVal>
            <c:numRef>
              <c:f>Sheet2!$BO$29:$BO$36</c:f>
              <c:numCache>
                <c:formatCode>_(* #,##0.00_);_(* \(#,##0.00\);_(* "-"??_);_(@_)</c:formatCode>
                <c:ptCount val="8"/>
                <c:pt idx="0">
                  <c:v>195710.5</c:v>
                </c:pt>
                <c:pt idx="1">
                  <c:v>410457</c:v>
                </c:pt>
                <c:pt idx="2">
                  <c:v>627252.5</c:v>
                </c:pt>
                <c:pt idx="3">
                  <c:v>821757.5</c:v>
                </c:pt>
                <c:pt idx="4">
                  <c:v>1023695</c:v>
                </c:pt>
                <c:pt idx="5">
                  <c:v>1213050</c:v>
                </c:pt>
                <c:pt idx="6">
                  <c:v>1411325</c:v>
                </c:pt>
                <c:pt idx="7">
                  <c:v>1606300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2D-4236-BCCA-700F23EDC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754776"/>
        <c:axId val="896754448"/>
      </c:scatterChart>
      <c:valAx>
        <c:axId val="896754776"/>
        <c:scaling>
          <c:orientation val="minMax"/>
          <c:max val="3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754448"/>
        <c:crosses val="autoZero"/>
        <c:crossBetween val="midCat"/>
        <c:majorUnit val="4"/>
      </c:valAx>
      <c:valAx>
        <c:axId val="89675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754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Sheet3!$W$2:$W$25</c:f>
              <c:numCache>
                <c:formatCode>_(* #,##0.00_);_(* \(#,##0.00\);_(* "-"??_);_(@_)</c:formatCode>
                <c:ptCount val="24"/>
                <c:pt idx="0">
                  <c:v>195710.5</c:v>
                </c:pt>
                <c:pt idx="1">
                  <c:v>149323</c:v>
                </c:pt>
                <c:pt idx="2">
                  <c:v>42586.45</c:v>
                </c:pt>
                <c:pt idx="3">
                  <c:v>410457</c:v>
                </c:pt>
                <c:pt idx="4">
                  <c:v>325633</c:v>
                </c:pt>
                <c:pt idx="5">
                  <c:v>83098.55</c:v>
                </c:pt>
                <c:pt idx="6">
                  <c:v>627252.5</c:v>
                </c:pt>
                <c:pt idx="7">
                  <c:v>520271</c:v>
                </c:pt>
                <c:pt idx="8">
                  <c:v>108074.5</c:v>
                </c:pt>
                <c:pt idx="9">
                  <c:v>821757.5</c:v>
                </c:pt>
                <c:pt idx="10">
                  <c:v>694979</c:v>
                </c:pt>
                <c:pt idx="11">
                  <c:v>124130.5</c:v>
                </c:pt>
                <c:pt idx="12">
                  <c:v>1023695</c:v>
                </c:pt>
                <c:pt idx="13">
                  <c:v>879888.5</c:v>
                </c:pt>
                <c:pt idx="14">
                  <c:v>144504.5</c:v>
                </c:pt>
                <c:pt idx="15">
                  <c:v>1213050</c:v>
                </c:pt>
                <c:pt idx="16">
                  <c:v>1054710</c:v>
                </c:pt>
                <c:pt idx="17">
                  <c:v>160623</c:v>
                </c:pt>
                <c:pt idx="18">
                  <c:v>1411325</c:v>
                </c:pt>
                <c:pt idx="19">
                  <c:v>1234350</c:v>
                </c:pt>
                <c:pt idx="20">
                  <c:v>171518.5</c:v>
                </c:pt>
                <c:pt idx="21">
                  <c:v>1606300</c:v>
                </c:pt>
                <c:pt idx="22">
                  <c:v>1413895</c:v>
                </c:pt>
                <c:pt idx="23">
                  <c:v>193020.5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3-422C-9C1A-53B9013B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8664544"/>
        <c:axId val="738662248"/>
      </c:barChart>
      <c:catAx>
        <c:axId val="7386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662248"/>
        <c:crosses val="autoZero"/>
        <c:auto val="1"/>
        <c:lblAlgn val="ctr"/>
        <c:lblOffset val="100"/>
        <c:noMultiLvlLbl val="0"/>
      </c:catAx>
      <c:valAx>
        <c:axId val="73866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66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Sheet3!$W$31:$W$54</c:f>
              <c:numCache>
                <c:formatCode>_(* #,##0.00_);_(* \(#,##0.00\);_(* "-"??_);_(@_)</c:formatCode>
                <c:ptCount val="24"/>
                <c:pt idx="0">
                  <c:v>90937.35</c:v>
                </c:pt>
                <c:pt idx="1">
                  <c:v>68901.649999999994</c:v>
                </c:pt>
                <c:pt idx="2">
                  <c:v>21814.95</c:v>
                </c:pt>
                <c:pt idx="3">
                  <c:v>204390</c:v>
                </c:pt>
                <c:pt idx="4">
                  <c:v>158978.5</c:v>
                </c:pt>
                <c:pt idx="5">
                  <c:v>46157.3</c:v>
                </c:pt>
                <c:pt idx="6">
                  <c:v>320375.5</c:v>
                </c:pt>
                <c:pt idx="7">
                  <c:v>253172</c:v>
                </c:pt>
                <c:pt idx="8">
                  <c:v>66176.25</c:v>
                </c:pt>
                <c:pt idx="9">
                  <c:v>419953</c:v>
                </c:pt>
                <c:pt idx="10">
                  <c:v>336554.5</c:v>
                </c:pt>
                <c:pt idx="11">
                  <c:v>83019.3</c:v>
                </c:pt>
                <c:pt idx="12">
                  <c:v>533045</c:v>
                </c:pt>
                <c:pt idx="13">
                  <c:v>429185</c:v>
                </c:pt>
                <c:pt idx="14">
                  <c:v>103095.5</c:v>
                </c:pt>
                <c:pt idx="15">
                  <c:v>646810</c:v>
                </c:pt>
                <c:pt idx="16">
                  <c:v>524044.5</c:v>
                </c:pt>
                <c:pt idx="17">
                  <c:v>121287</c:v>
                </c:pt>
                <c:pt idx="18">
                  <c:v>750925.5</c:v>
                </c:pt>
                <c:pt idx="19">
                  <c:v>612891</c:v>
                </c:pt>
                <c:pt idx="20">
                  <c:v>137400</c:v>
                </c:pt>
                <c:pt idx="21">
                  <c:v>855868.5</c:v>
                </c:pt>
                <c:pt idx="22">
                  <c:v>701589</c:v>
                </c:pt>
                <c:pt idx="23">
                  <c:v>153911.5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3-45F1-A5DF-FB079EC62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4250752"/>
        <c:axId val="894248128"/>
      </c:barChart>
      <c:catAx>
        <c:axId val="8942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248128"/>
        <c:crosses val="autoZero"/>
        <c:auto val="1"/>
        <c:lblAlgn val="ctr"/>
        <c:lblOffset val="100"/>
        <c:noMultiLvlLbl val="0"/>
      </c:catAx>
      <c:valAx>
        <c:axId val="89424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2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123825</xdr:colOff>
      <xdr:row>9</xdr:row>
      <xdr:rowOff>176212</xdr:rowOff>
    </xdr:from>
    <xdr:to>
      <xdr:col>71</xdr:col>
      <xdr:colOff>428625</xdr:colOff>
      <xdr:row>34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F73893-0915-45D1-A15A-108496B8B5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14287</xdr:colOff>
      <xdr:row>0</xdr:row>
      <xdr:rowOff>4764</xdr:rowOff>
    </xdr:from>
    <xdr:to>
      <xdr:col>74</xdr:col>
      <xdr:colOff>0</xdr:colOff>
      <xdr:row>9</xdr:row>
      <xdr:rowOff>180976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056C918-CC5D-4734-9116-540A54359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4763</xdr:colOff>
      <xdr:row>13</xdr:row>
      <xdr:rowOff>9525</xdr:rowOff>
    </xdr:from>
    <xdr:to>
      <xdr:col>74</xdr:col>
      <xdr:colOff>1</xdr:colOff>
      <xdr:row>23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140FF5D-BFFD-417A-B463-F4AC78A0EE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68</xdr:col>
      <xdr:colOff>4763</xdr:colOff>
      <xdr:row>26</xdr:row>
      <xdr:rowOff>9525</xdr:rowOff>
    </xdr:from>
    <xdr:to>
      <xdr:col>73</xdr:col>
      <xdr:colOff>590550</xdr:colOff>
      <xdr:row>36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58D0C60-4BCB-4D09-BC18-D7773FACB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75</xdr:col>
      <xdr:colOff>0</xdr:colOff>
      <xdr:row>3</xdr:row>
      <xdr:rowOff>9525</xdr:rowOff>
    </xdr:from>
    <xdr:to>
      <xdr:col>79</xdr:col>
      <xdr:colOff>237394</xdr:colOff>
      <xdr:row>21</xdr:row>
      <xdr:rowOff>132904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B3948C-851C-44B1-A146-71D8DF93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82550" y="971550"/>
          <a:ext cx="5847619" cy="35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4761</xdr:colOff>
      <xdr:row>1</xdr:row>
      <xdr:rowOff>4761</xdr:rowOff>
    </xdr:from>
    <xdr:to>
      <xdr:col>33</xdr:col>
      <xdr:colOff>295274</xdr:colOff>
      <xdr:row>24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EAB455-A0DC-4103-AB9F-2738BE1F57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4761</xdr:colOff>
      <xdr:row>30</xdr:row>
      <xdr:rowOff>14286</xdr:rowOff>
    </xdr:from>
    <xdr:to>
      <xdr:col>33</xdr:col>
      <xdr:colOff>295274</xdr:colOff>
      <xdr:row>53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8A5E0-80DD-4860-9E96-5DC4CFB85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34</xdr:col>
      <xdr:colOff>457200</xdr:colOff>
      <xdr:row>11</xdr:row>
      <xdr:rowOff>38100</xdr:rowOff>
    </xdr:from>
    <xdr:to>
      <xdr:col>43</xdr:col>
      <xdr:colOff>599371</xdr:colOff>
      <xdr:row>39</xdr:row>
      <xdr:rowOff>8862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610B524-124F-4C2E-BC5D-BCF4057C1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013025" y="2133600"/>
          <a:ext cx="5628571" cy="53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89398-2844-4B58-9FAF-A91BA8317275}">
  <dimension ref="A1:C17"/>
  <sheetViews>
    <sheetView tabSelected="1" workbookViewId="0">
      <selection activeCell="B16" sqref="B16"/>
    </sheetView>
  </sheetViews>
  <sheetFormatPr defaultRowHeight="15"/>
  <cols>
    <col min="1" max="1" width="165.42578125" customWidth="1"/>
    <col min="2" max="2" width="47.140625" customWidth="1"/>
  </cols>
  <sheetData>
    <row r="1" spans="1:3">
      <c r="A1" s="60" t="s">
        <v>36</v>
      </c>
      <c r="B1" s="61" t="s">
        <v>42</v>
      </c>
    </row>
    <row r="2" spans="1:3">
      <c r="A2" s="60" t="s">
        <v>37</v>
      </c>
      <c r="B2" s="62" t="s">
        <v>43</v>
      </c>
    </row>
    <row r="3" spans="1:3">
      <c r="A3" s="60" t="s">
        <v>38</v>
      </c>
      <c r="B3" s="62" t="s">
        <v>43</v>
      </c>
    </row>
    <row r="4" spans="1:3">
      <c r="A4" s="60" t="s">
        <v>39</v>
      </c>
      <c r="B4" s="62" t="s">
        <v>43</v>
      </c>
    </row>
    <row r="5" spans="1:3">
      <c r="A5" s="60" t="s">
        <v>40</v>
      </c>
      <c r="B5" s="61" t="s">
        <v>42</v>
      </c>
    </row>
    <row r="6" spans="1:3">
      <c r="A6" s="60" t="s">
        <v>41</v>
      </c>
      <c r="B6" s="61" t="s">
        <v>42</v>
      </c>
    </row>
    <row r="7" spans="1:3">
      <c r="A7" s="60"/>
    </row>
    <row r="9" spans="1:3">
      <c r="A9" s="59" t="s">
        <v>34</v>
      </c>
      <c r="B9" s="63" t="s">
        <v>44</v>
      </c>
      <c r="C9" t="s">
        <v>52</v>
      </c>
    </row>
    <row r="10" spans="1:3">
      <c r="A10" s="59" t="s">
        <v>26</v>
      </c>
      <c r="B10" s="61" t="s">
        <v>42</v>
      </c>
    </row>
    <row r="11" spans="1:3">
      <c r="A11" s="59" t="s">
        <v>27</v>
      </c>
      <c r="B11" s="63" t="s">
        <v>53</v>
      </c>
    </row>
    <row r="12" spans="1:3">
      <c r="A12" s="59" t="s">
        <v>28</v>
      </c>
      <c r="B12" t="s">
        <v>35</v>
      </c>
    </row>
    <row r="13" spans="1:3">
      <c r="A13" s="59" t="s">
        <v>29</v>
      </c>
      <c r="B13" s="64" t="s">
        <v>45</v>
      </c>
    </row>
    <row r="14" spans="1:3">
      <c r="A14" s="59" t="s">
        <v>30</v>
      </c>
      <c r="B14" s="63" t="s">
        <v>47</v>
      </c>
    </row>
    <row r="15" spans="1:3">
      <c r="A15" s="59" t="s">
        <v>31</v>
      </c>
      <c r="B15" s="64" t="s">
        <v>45</v>
      </c>
    </row>
    <row r="16" spans="1:3">
      <c r="A16" s="59" t="s">
        <v>32</v>
      </c>
      <c r="B16" s="63" t="s">
        <v>54</v>
      </c>
    </row>
    <row r="17" spans="1:2">
      <c r="A17" s="59" t="s">
        <v>33</v>
      </c>
      <c r="B17" s="64" t="s">
        <v>45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0705-59A7-4962-8C8E-95F929DFA9D6}">
  <sheetPr codeName="Sheet1"/>
  <dimension ref="A1:BO7"/>
  <sheetViews>
    <sheetView workbookViewId="0">
      <selection activeCell="W3" sqref="W3"/>
    </sheetView>
  </sheetViews>
  <sheetFormatPr defaultRowHeight="15"/>
  <cols>
    <col min="1" max="1" width="30.28515625" customWidth="1"/>
    <col min="2" max="2" width="18.7109375" style="3" customWidth="1"/>
    <col min="3" max="3" width="13.140625" style="4" customWidth="1"/>
    <col min="4" max="4" width="13.7109375" style="4" hidden="1" customWidth="1"/>
    <col min="5" max="5" width="13.42578125" style="4" hidden="1" customWidth="1"/>
    <col min="6" max="6" width="13.28515625" style="4" hidden="1" customWidth="1"/>
    <col min="7" max="7" width="14.5703125" style="4" hidden="1" customWidth="1"/>
    <col min="8" max="8" width="12.5703125" style="4" hidden="1" customWidth="1"/>
    <col min="9" max="9" width="13.28515625" style="4" hidden="1" customWidth="1"/>
    <col min="10" max="18" width="12.5703125" style="4" hidden="1" customWidth="1"/>
    <col min="19" max="19" width="11" style="4" hidden="1" customWidth="1"/>
    <col min="20" max="22" width="12.5703125" style="4" hidden="1" customWidth="1"/>
    <col min="23" max="23" width="12.5703125" style="3" bestFit="1" customWidth="1"/>
    <col min="25" max="25" width="11.42578125" style="2" customWidth="1"/>
    <col min="26" max="33" width="11" style="2" hidden="1" customWidth="1"/>
    <col min="34" max="34" width="12.5703125" style="2" hidden="1" customWidth="1"/>
    <col min="35" max="44" width="11" style="2" hidden="1" customWidth="1"/>
    <col min="45" max="45" width="12.7109375" style="4" bestFit="1" customWidth="1"/>
    <col min="47" max="47" width="12.5703125" bestFit="1" customWidth="1"/>
    <col min="48" max="66" width="12.5703125" hidden="1" customWidth="1"/>
    <col min="67" max="67" width="12.7109375" style="4" bestFit="1" customWidth="1"/>
  </cols>
  <sheetData>
    <row r="1" spans="1:67">
      <c r="C1" s="37" t="s">
        <v>2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9"/>
      <c r="Y1" s="37" t="s">
        <v>8</v>
      </c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9"/>
      <c r="AU1" s="40" t="s">
        <v>9</v>
      </c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2"/>
    </row>
    <row r="2" spans="1:67">
      <c r="C2" s="10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 t="s">
        <v>7</v>
      </c>
      <c r="Y2" s="19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14" t="s">
        <v>7</v>
      </c>
      <c r="AU2" s="21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14" t="s">
        <v>7</v>
      </c>
    </row>
    <row r="3" spans="1:67">
      <c r="A3" s="1" t="s">
        <v>0</v>
      </c>
      <c r="B3" s="3" t="s">
        <v>1</v>
      </c>
      <c r="C3" s="10">
        <v>12504.5</v>
      </c>
      <c r="D3" s="5">
        <v>12419.3</v>
      </c>
      <c r="E3" s="5">
        <v>12675.5</v>
      </c>
      <c r="F3" s="5">
        <v>12239.3</v>
      </c>
      <c r="G3" s="5">
        <v>12318.3</v>
      </c>
      <c r="H3" s="5">
        <v>12540.5</v>
      </c>
      <c r="I3" s="5">
        <v>12687.2</v>
      </c>
      <c r="J3" s="5">
        <v>12324.6</v>
      </c>
      <c r="K3" s="5">
        <v>12407.7</v>
      </c>
      <c r="L3" s="5">
        <v>12687.3</v>
      </c>
      <c r="M3" s="5">
        <v>12834.8</v>
      </c>
      <c r="N3" s="5">
        <v>12336.4</v>
      </c>
      <c r="O3" s="5">
        <v>12462.6</v>
      </c>
      <c r="P3" s="5">
        <v>12366.3</v>
      </c>
      <c r="Q3" s="5">
        <v>12621.1</v>
      </c>
      <c r="R3" s="5">
        <v>12460.2</v>
      </c>
      <c r="S3" s="5">
        <v>12519.4</v>
      </c>
      <c r="T3" s="5">
        <v>12677</v>
      </c>
      <c r="U3" s="5">
        <v>12806.9</v>
      </c>
      <c r="V3" s="5">
        <v>12595.6</v>
      </c>
      <c r="W3" s="7">
        <f>MEDIAN(C3:V3)</f>
        <v>12511.95</v>
      </c>
      <c r="Y3" s="15">
        <v>16184</v>
      </c>
      <c r="Z3" s="16">
        <v>15774.1</v>
      </c>
      <c r="AA3" s="16">
        <v>15990.5</v>
      </c>
      <c r="AB3" s="16">
        <v>15963.6</v>
      </c>
      <c r="AC3" s="16">
        <v>16011.8</v>
      </c>
      <c r="AD3" s="16">
        <v>15784.1</v>
      </c>
      <c r="AE3" s="16">
        <v>15969.7</v>
      </c>
      <c r="AF3" s="16">
        <v>15980.4</v>
      </c>
      <c r="AG3" s="16">
        <v>15988.1</v>
      </c>
      <c r="AH3" s="16">
        <v>15688.8</v>
      </c>
      <c r="AI3" s="16">
        <v>15754.5</v>
      </c>
      <c r="AJ3" s="16">
        <v>15939.6</v>
      </c>
      <c r="AK3" s="16">
        <v>15845.5</v>
      </c>
      <c r="AL3" s="16">
        <v>15798.4</v>
      </c>
      <c r="AM3" s="16">
        <v>16045</v>
      </c>
      <c r="AN3" s="16">
        <v>15991.3</v>
      </c>
      <c r="AO3" s="16">
        <v>16067.3</v>
      </c>
      <c r="AP3" s="16">
        <v>15810</v>
      </c>
      <c r="AQ3" s="16">
        <v>15912</v>
      </c>
      <c r="AR3" s="16">
        <v>15767.9</v>
      </c>
      <c r="AS3" s="12">
        <f>MEDIAN(Y3:AR3)</f>
        <v>15951.6</v>
      </c>
      <c r="AU3" s="15">
        <v>17148.8</v>
      </c>
      <c r="AV3" s="16">
        <v>16795.2</v>
      </c>
      <c r="AW3" s="16">
        <v>17044.8</v>
      </c>
      <c r="AX3" s="16">
        <v>16621.3</v>
      </c>
      <c r="AY3" s="16">
        <v>16812.7</v>
      </c>
      <c r="AZ3" s="16">
        <v>17004.099999999999</v>
      </c>
      <c r="BA3" s="16">
        <v>16848.900000000001</v>
      </c>
      <c r="BB3" s="16">
        <v>17094.599999999999</v>
      </c>
      <c r="BC3" s="16">
        <v>17072.2</v>
      </c>
      <c r="BD3" s="16">
        <v>16592.099999999999</v>
      </c>
      <c r="BE3" s="16">
        <v>16451.400000000001</v>
      </c>
      <c r="BF3" s="16">
        <v>16848</v>
      </c>
      <c r="BG3" s="16">
        <v>16986.3</v>
      </c>
      <c r="BH3" s="16">
        <v>16989.3</v>
      </c>
      <c r="BI3" s="16">
        <v>16761.5</v>
      </c>
      <c r="BJ3" s="16">
        <v>17255.599999999999</v>
      </c>
      <c r="BK3" s="16">
        <v>16792</v>
      </c>
      <c r="BL3" s="16">
        <v>16927.3</v>
      </c>
      <c r="BM3" s="16">
        <v>16893.3</v>
      </c>
      <c r="BN3" s="16">
        <v>16947.3</v>
      </c>
      <c r="BO3" s="12">
        <f>MEDIAN(AU3:BN3)</f>
        <v>16910.3</v>
      </c>
    </row>
    <row r="4" spans="1:67">
      <c r="B4" s="3" t="s">
        <v>3</v>
      </c>
      <c r="C4" s="10">
        <v>54723.3</v>
      </c>
      <c r="D4" s="5">
        <v>53998.1</v>
      </c>
      <c r="E4" s="5">
        <v>53162.8</v>
      </c>
      <c r="F4" s="5">
        <v>54244</v>
      </c>
      <c r="G4" s="5">
        <v>53573</v>
      </c>
      <c r="H4" s="5">
        <v>53455.7</v>
      </c>
      <c r="I4" s="5">
        <v>53821.599999999999</v>
      </c>
      <c r="J4" s="5">
        <v>53676.4</v>
      </c>
      <c r="K4" s="5">
        <v>53485.2</v>
      </c>
      <c r="L4" s="5">
        <v>53666.8</v>
      </c>
      <c r="M4" s="5">
        <v>53770</v>
      </c>
      <c r="N4" s="5">
        <v>53969</v>
      </c>
      <c r="O4" s="5">
        <v>53676.1</v>
      </c>
      <c r="P4" s="5">
        <v>53642.7</v>
      </c>
      <c r="Q4" s="5">
        <v>53605.3</v>
      </c>
      <c r="R4" s="5">
        <v>53363.199999999997</v>
      </c>
      <c r="S4" s="5">
        <v>53763.9</v>
      </c>
      <c r="T4" s="5">
        <v>54117.599999999999</v>
      </c>
      <c r="U4" s="5">
        <v>53348.800000000003</v>
      </c>
      <c r="V4" s="5">
        <v>53935</v>
      </c>
      <c r="W4" s="7">
        <f t="shared" ref="W4:W7" si="0">MEDIAN(C4:V4)</f>
        <v>53676.25</v>
      </c>
      <c r="Y4" s="15">
        <v>69264.2</v>
      </c>
      <c r="Z4" s="16">
        <v>69227.8</v>
      </c>
      <c r="AA4" s="16">
        <v>69340.2</v>
      </c>
      <c r="AB4" s="16">
        <v>69308</v>
      </c>
      <c r="AC4" s="16">
        <v>69491.199999999997</v>
      </c>
      <c r="AD4" s="16">
        <v>69404.5</v>
      </c>
      <c r="AE4" s="16">
        <v>69949.399999999994</v>
      </c>
      <c r="AF4" s="16">
        <v>69417.100000000006</v>
      </c>
      <c r="AG4" s="16">
        <v>69588.100000000006</v>
      </c>
      <c r="AH4" s="16">
        <v>69368.399999999994</v>
      </c>
      <c r="AI4" s="16">
        <v>69384.2</v>
      </c>
      <c r="AJ4" s="16">
        <v>69564.399999999994</v>
      </c>
      <c r="AK4" s="16">
        <v>70063.399999999994</v>
      </c>
      <c r="AL4" s="16">
        <v>69546</v>
      </c>
      <c r="AM4" s="16">
        <v>70277.5</v>
      </c>
      <c r="AN4" s="16">
        <v>69746.399999999994</v>
      </c>
      <c r="AO4" s="16">
        <v>70114.3</v>
      </c>
      <c r="AP4" s="16">
        <v>69655.199999999997</v>
      </c>
      <c r="AQ4" s="16">
        <v>69487.5</v>
      </c>
      <c r="AR4" s="16">
        <v>70070.600000000006</v>
      </c>
      <c r="AS4" s="12">
        <f t="shared" ref="AS4:AS7" si="1">MEDIAN(Y4:AR4)</f>
        <v>69518.600000000006</v>
      </c>
      <c r="AU4" s="15">
        <v>72848.899999999994</v>
      </c>
      <c r="AV4" s="16">
        <v>72550.600000000006</v>
      </c>
      <c r="AW4" s="16">
        <v>73179.199999999997</v>
      </c>
      <c r="AX4" s="16">
        <v>73055.399999999994</v>
      </c>
      <c r="AY4" s="16">
        <v>73341</v>
      </c>
      <c r="AZ4" s="16">
        <v>73169</v>
      </c>
      <c r="BA4" s="16">
        <v>73768.2</v>
      </c>
      <c r="BB4" s="16">
        <v>73152.399999999994</v>
      </c>
      <c r="BC4" s="16">
        <v>73441.600000000006</v>
      </c>
      <c r="BD4" s="16">
        <v>72914.2</v>
      </c>
      <c r="BE4" s="16">
        <v>73810.899999999994</v>
      </c>
      <c r="BF4" s="16">
        <v>73160.100000000006</v>
      </c>
      <c r="BG4" s="16">
        <v>73375.199999999997</v>
      </c>
      <c r="BH4" s="16">
        <v>73187.100000000006</v>
      </c>
      <c r="BI4" s="16">
        <v>73296.800000000003</v>
      </c>
      <c r="BJ4" s="16">
        <v>73114.5</v>
      </c>
      <c r="BK4" s="16">
        <v>73232.100000000006</v>
      </c>
      <c r="BL4" s="16">
        <v>73747.399999999994</v>
      </c>
      <c r="BM4" s="16">
        <v>72925.5</v>
      </c>
      <c r="BN4" s="16">
        <v>73229.2</v>
      </c>
      <c r="BO4" s="12">
        <f t="shared" ref="BO4:BO7" si="2">MEDIAN(AU4:BN4)</f>
        <v>73183.149999999994</v>
      </c>
    </row>
    <row r="5" spans="1:67">
      <c r="B5" s="3" t="s">
        <v>4</v>
      </c>
      <c r="C5" s="10">
        <v>97676.4</v>
      </c>
      <c r="D5" s="5">
        <v>98176.8</v>
      </c>
      <c r="E5" s="5">
        <v>96925.3</v>
      </c>
      <c r="F5" s="5">
        <v>97726.7</v>
      </c>
      <c r="G5" s="5">
        <v>96949.6</v>
      </c>
      <c r="H5" s="5">
        <v>96400.2</v>
      </c>
      <c r="I5" s="5">
        <v>97177.7</v>
      </c>
      <c r="J5" s="5">
        <v>97690.9</v>
      </c>
      <c r="K5" s="5">
        <v>97623.5</v>
      </c>
      <c r="L5" s="5">
        <v>97717.6</v>
      </c>
      <c r="M5" s="5">
        <v>97145</v>
      </c>
      <c r="N5" s="5">
        <v>97941.3</v>
      </c>
      <c r="O5" s="5">
        <v>97504.2</v>
      </c>
      <c r="P5" s="5">
        <v>97657.8</v>
      </c>
      <c r="Q5" s="5">
        <v>96480.1</v>
      </c>
      <c r="R5" s="5">
        <v>97260.7</v>
      </c>
      <c r="S5" s="5">
        <v>97494.5</v>
      </c>
      <c r="T5" s="5">
        <v>97747.3</v>
      </c>
      <c r="U5" s="5">
        <v>96815.5</v>
      </c>
      <c r="V5" s="5">
        <v>97191.2</v>
      </c>
      <c r="W5" s="7">
        <f t="shared" si="0"/>
        <v>97499.35</v>
      </c>
      <c r="Y5" s="15">
        <v>87042.2</v>
      </c>
      <c r="Z5" s="16">
        <v>86690.1</v>
      </c>
      <c r="AA5" s="16">
        <v>87655.4</v>
      </c>
      <c r="AB5" s="16">
        <v>87147.6</v>
      </c>
      <c r="AC5" s="16">
        <v>88135.2</v>
      </c>
      <c r="AD5" s="16">
        <v>85914.3</v>
      </c>
      <c r="AE5" s="16">
        <v>87123.8</v>
      </c>
      <c r="AF5" s="16">
        <v>87816.4</v>
      </c>
      <c r="AG5" s="16">
        <v>86541.1</v>
      </c>
      <c r="AH5" s="16">
        <v>85626.3</v>
      </c>
      <c r="AI5" s="16">
        <v>86540.9</v>
      </c>
      <c r="AJ5" s="16">
        <v>87279.7</v>
      </c>
      <c r="AK5" s="16">
        <v>86415.3</v>
      </c>
      <c r="AL5" s="16">
        <v>86426.3</v>
      </c>
      <c r="AM5" s="16">
        <v>86646.5</v>
      </c>
      <c r="AN5" s="16">
        <v>86679.4</v>
      </c>
      <c r="AO5" s="16">
        <v>85706.3</v>
      </c>
      <c r="AP5" s="16">
        <v>87455.9</v>
      </c>
      <c r="AQ5" s="16">
        <v>90054.6</v>
      </c>
      <c r="AR5" s="16">
        <v>86348.7</v>
      </c>
      <c r="AS5" s="12">
        <f t="shared" si="1"/>
        <v>86684.75</v>
      </c>
      <c r="AU5" s="15">
        <v>190973</v>
      </c>
      <c r="AV5" s="16">
        <v>190310</v>
      </c>
      <c r="AW5" s="16">
        <v>186907</v>
      </c>
      <c r="AX5" s="16">
        <v>177112</v>
      </c>
      <c r="AY5" s="16">
        <v>189034</v>
      </c>
      <c r="AZ5" s="16">
        <v>193366</v>
      </c>
      <c r="BA5" s="16">
        <v>188864</v>
      </c>
      <c r="BB5" s="16">
        <v>188308</v>
      </c>
      <c r="BC5" s="16">
        <v>187422</v>
      </c>
      <c r="BD5" s="16">
        <v>183181</v>
      </c>
      <c r="BE5" s="16">
        <v>183860</v>
      </c>
      <c r="BF5" s="16">
        <v>189652</v>
      </c>
      <c r="BG5" s="16">
        <v>187666</v>
      </c>
      <c r="BH5" s="16">
        <v>186971</v>
      </c>
      <c r="BI5" s="16">
        <v>189044</v>
      </c>
      <c r="BJ5" s="16">
        <v>189217</v>
      </c>
      <c r="BK5" s="16">
        <v>188969</v>
      </c>
      <c r="BL5" s="16">
        <v>186622</v>
      </c>
      <c r="BM5" s="16">
        <v>190448</v>
      </c>
      <c r="BN5" s="16">
        <v>184513</v>
      </c>
      <c r="BO5" s="12">
        <f t="shared" si="2"/>
        <v>188586</v>
      </c>
    </row>
    <row r="6" spans="1:67">
      <c r="B6" s="3" t="s">
        <v>5</v>
      </c>
      <c r="C6" s="10">
        <v>707438</v>
      </c>
      <c r="D6" s="5">
        <v>706541</v>
      </c>
      <c r="E6" s="5">
        <v>709954</v>
      </c>
      <c r="F6" s="5">
        <v>705660</v>
      </c>
      <c r="G6" s="5">
        <v>1162120</v>
      </c>
      <c r="H6" s="5">
        <v>707612</v>
      </c>
      <c r="I6" s="5">
        <v>699912</v>
      </c>
      <c r="J6" s="5">
        <v>708630</v>
      </c>
      <c r="K6" s="5">
        <v>704479</v>
      </c>
      <c r="L6" s="5">
        <v>704428</v>
      </c>
      <c r="M6" s="5">
        <v>709193</v>
      </c>
      <c r="N6" s="5">
        <v>704736</v>
      </c>
      <c r="O6" s="5">
        <v>702156</v>
      </c>
      <c r="P6" s="5">
        <v>702421</v>
      </c>
      <c r="Q6" s="5">
        <v>703360</v>
      </c>
      <c r="R6" s="5">
        <v>721253</v>
      </c>
      <c r="S6" s="5">
        <v>709323</v>
      </c>
      <c r="T6" s="5">
        <v>701530</v>
      </c>
      <c r="U6" s="5">
        <v>701615</v>
      </c>
      <c r="V6" s="5">
        <v>704767</v>
      </c>
      <c r="W6" s="7">
        <f t="shared" si="0"/>
        <v>705213.5</v>
      </c>
      <c r="Y6" s="15">
        <v>871077</v>
      </c>
      <c r="Z6" s="16">
        <v>867736</v>
      </c>
      <c r="AA6" s="16">
        <v>875171</v>
      </c>
      <c r="AB6" s="16">
        <v>872021</v>
      </c>
      <c r="AC6" s="16">
        <v>874264</v>
      </c>
      <c r="AD6" s="16">
        <v>866194</v>
      </c>
      <c r="AE6" s="16">
        <v>877474</v>
      </c>
      <c r="AF6" s="16">
        <v>960159</v>
      </c>
      <c r="AG6" s="16">
        <v>874348</v>
      </c>
      <c r="AH6" s="16">
        <v>1356890</v>
      </c>
      <c r="AI6" s="16">
        <v>875409</v>
      </c>
      <c r="AJ6" s="16">
        <v>866976</v>
      </c>
      <c r="AK6" s="16">
        <v>877023</v>
      </c>
      <c r="AL6" s="16">
        <v>869607</v>
      </c>
      <c r="AM6" s="16">
        <v>871601</v>
      </c>
      <c r="AN6" s="16">
        <v>869592</v>
      </c>
      <c r="AO6" s="16">
        <v>871055</v>
      </c>
      <c r="AP6" s="16">
        <v>869682</v>
      </c>
      <c r="AQ6" s="16">
        <v>876438</v>
      </c>
      <c r="AR6" s="16">
        <v>871190</v>
      </c>
      <c r="AS6" s="12">
        <f t="shared" si="1"/>
        <v>871811</v>
      </c>
      <c r="AU6" s="15">
        <v>942302</v>
      </c>
      <c r="AV6" s="16">
        <v>939660</v>
      </c>
      <c r="AW6" s="16">
        <v>948910</v>
      </c>
      <c r="AX6" s="16">
        <v>942276</v>
      </c>
      <c r="AY6" s="16">
        <v>940159</v>
      </c>
      <c r="AZ6" s="16">
        <v>939757</v>
      </c>
      <c r="BA6" s="16">
        <v>944226</v>
      </c>
      <c r="BB6" s="16">
        <v>948233</v>
      </c>
      <c r="BC6" s="16">
        <v>938574</v>
      </c>
      <c r="BD6" s="16">
        <v>948035</v>
      </c>
      <c r="BE6" s="16">
        <v>936212</v>
      </c>
      <c r="BF6" s="16">
        <v>939776</v>
      </c>
      <c r="BG6" s="16">
        <v>939586</v>
      </c>
      <c r="BH6" s="16">
        <v>937643</v>
      </c>
      <c r="BI6" s="16">
        <v>1462270</v>
      </c>
      <c r="BJ6" s="16">
        <v>1092170</v>
      </c>
      <c r="BK6" s="16">
        <v>938681</v>
      </c>
      <c r="BL6" s="16">
        <v>938631</v>
      </c>
      <c r="BM6" s="16">
        <v>938907</v>
      </c>
      <c r="BN6" s="16">
        <v>945659</v>
      </c>
      <c r="BO6" s="12">
        <f t="shared" si="2"/>
        <v>939967.5</v>
      </c>
    </row>
    <row r="7" spans="1:67" ht="15.75" thickBot="1">
      <c r="B7" s="3" t="s">
        <v>6</v>
      </c>
      <c r="C7" s="11">
        <v>1036760</v>
      </c>
      <c r="D7" s="8">
        <v>1054250</v>
      </c>
      <c r="E7" s="8">
        <v>1011840</v>
      </c>
      <c r="F7" s="8">
        <v>1019300</v>
      </c>
      <c r="G7" s="8">
        <v>1010220</v>
      </c>
      <c r="H7" s="8">
        <v>1030890</v>
      </c>
      <c r="I7" s="8">
        <v>1029000</v>
      </c>
      <c r="J7" s="8">
        <v>1025280</v>
      </c>
      <c r="K7" s="8">
        <v>1028940</v>
      </c>
      <c r="L7" s="8">
        <v>1008050</v>
      </c>
      <c r="M7" s="8">
        <v>1018230</v>
      </c>
      <c r="N7" s="8">
        <v>1024050</v>
      </c>
      <c r="O7" s="8">
        <v>1009550</v>
      </c>
      <c r="P7" s="8">
        <v>1008230</v>
      </c>
      <c r="Q7" s="8">
        <v>1028060</v>
      </c>
      <c r="R7" s="8">
        <v>1024520</v>
      </c>
      <c r="S7" s="8">
        <v>994790</v>
      </c>
      <c r="T7" s="8">
        <v>1007710</v>
      </c>
      <c r="U7" s="8">
        <v>1030420</v>
      </c>
      <c r="V7" s="8">
        <v>1013440</v>
      </c>
      <c r="W7" s="9">
        <f t="shared" si="0"/>
        <v>1021675</v>
      </c>
      <c r="Y7" s="17">
        <v>843753</v>
      </c>
      <c r="Z7" s="18">
        <v>855853</v>
      </c>
      <c r="AA7" s="18">
        <v>848564</v>
      </c>
      <c r="AB7" s="18">
        <v>839471</v>
      </c>
      <c r="AC7" s="18">
        <v>846242</v>
      </c>
      <c r="AD7" s="18">
        <v>844231</v>
      </c>
      <c r="AE7" s="18">
        <v>851915</v>
      </c>
      <c r="AF7" s="18">
        <v>851791</v>
      </c>
      <c r="AG7" s="18">
        <v>837617</v>
      </c>
      <c r="AH7" s="18">
        <v>834829</v>
      </c>
      <c r="AI7" s="18">
        <v>843997</v>
      </c>
      <c r="AJ7" s="18">
        <v>847654</v>
      </c>
      <c r="AK7" s="18">
        <v>841145</v>
      </c>
      <c r="AL7" s="18">
        <v>855233</v>
      </c>
      <c r="AM7" s="18">
        <v>840816</v>
      </c>
      <c r="AN7" s="18">
        <v>826244</v>
      </c>
      <c r="AO7" s="18">
        <v>824648</v>
      </c>
      <c r="AP7" s="18">
        <v>851784</v>
      </c>
      <c r="AQ7" s="18">
        <v>841428</v>
      </c>
      <c r="AR7" s="18">
        <v>836375</v>
      </c>
      <c r="AS7" s="13">
        <f t="shared" si="1"/>
        <v>843875</v>
      </c>
      <c r="AU7" s="17">
        <v>1593130</v>
      </c>
      <c r="AV7" s="18">
        <v>1584700</v>
      </c>
      <c r="AW7" s="18">
        <v>1581740</v>
      </c>
      <c r="AX7" s="18">
        <v>1688310</v>
      </c>
      <c r="AY7" s="18">
        <v>1579450</v>
      </c>
      <c r="AZ7" s="18">
        <v>1600100</v>
      </c>
      <c r="BA7" s="18">
        <v>1570200</v>
      </c>
      <c r="BB7" s="18">
        <v>1588390</v>
      </c>
      <c r="BC7" s="18">
        <v>1577790</v>
      </c>
      <c r="BD7" s="18">
        <v>1551440</v>
      </c>
      <c r="BE7" s="18">
        <v>1582470</v>
      </c>
      <c r="BF7" s="18">
        <v>1574720</v>
      </c>
      <c r="BG7" s="18">
        <v>1581290</v>
      </c>
      <c r="BH7" s="18">
        <v>1562600</v>
      </c>
      <c r="BI7" s="18">
        <v>1589510</v>
      </c>
      <c r="BJ7" s="18">
        <v>1574080</v>
      </c>
      <c r="BK7" s="18">
        <v>1583480</v>
      </c>
      <c r="BL7" s="18">
        <v>1576210</v>
      </c>
      <c r="BM7" s="18">
        <v>1576250</v>
      </c>
      <c r="BN7" s="18">
        <v>1585100</v>
      </c>
      <c r="BO7" s="13">
        <f t="shared" si="2"/>
        <v>1581515</v>
      </c>
    </row>
  </sheetData>
  <mergeCells count="3">
    <mergeCell ref="C1:W1"/>
    <mergeCell ref="Y1:AS1"/>
    <mergeCell ref="AU1:BO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977B0-F67E-4721-9DB8-07A1C0CFD44B}">
  <sheetPr codeName="Sheet2"/>
  <dimension ref="A1:CA43"/>
  <sheetViews>
    <sheetView topLeftCell="B1" zoomScaleNormal="100" workbookViewId="0">
      <selection activeCell="BO23" sqref="BO23"/>
    </sheetView>
  </sheetViews>
  <sheetFormatPr defaultRowHeight="15"/>
  <cols>
    <col min="1" max="1" width="42.85546875" customWidth="1"/>
    <col min="2" max="2" width="11.7109375" bestFit="1" customWidth="1"/>
    <col min="3" max="4" width="8" hidden="1" customWidth="1"/>
    <col min="5" max="5" width="10.28515625" hidden="1" customWidth="1"/>
    <col min="6" max="10" width="9.140625" hidden="1" customWidth="1"/>
    <col min="11" max="11" width="11" hidden="1" customWidth="1"/>
    <col min="12" max="22" width="9.140625" hidden="1" customWidth="1"/>
    <col min="23" max="23" width="14.85546875" style="2" customWidth="1"/>
    <col min="25" max="25" width="8" hidden="1" customWidth="1"/>
    <col min="26" max="26" width="7" hidden="1" customWidth="1"/>
    <col min="27" max="44" width="9.140625" hidden="1" customWidth="1"/>
    <col min="45" max="45" width="14.85546875" style="2" customWidth="1"/>
    <col min="47" max="66" width="9.140625" hidden="1" customWidth="1"/>
    <col min="67" max="67" width="16" style="2" customWidth="1"/>
    <col min="79" max="79" width="56.7109375" customWidth="1"/>
  </cols>
  <sheetData>
    <row r="1" spans="1:79" s="1" customFormat="1" ht="45">
      <c r="W1" s="24" t="s">
        <v>16</v>
      </c>
      <c r="AS1" s="24" t="s">
        <v>17</v>
      </c>
      <c r="BO1" s="24" t="s">
        <v>18</v>
      </c>
    </row>
    <row r="2" spans="1:79" ht="15.75" thickBot="1">
      <c r="A2" s="35" t="s">
        <v>2</v>
      </c>
      <c r="B2" s="22" t="s">
        <v>14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16" t="s">
        <v>7</v>
      </c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16" t="s">
        <v>7</v>
      </c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16" t="s">
        <v>7</v>
      </c>
      <c r="CA2" t="s">
        <v>48</v>
      </c>
    </row>
    <row r="3" spans="1:79">
      <c r="A3" s="25" t="s">
        <v>10</v>
      </c>
      <c r="B3" s="26">
        <v>4</v>
      </c>
      <c r="C3" s="26">
        <v>58541.4</v>
      </c>
      <c r="D3" s="26">
        <v>53505</v>
      </c>
      <c r="E3" s="26">
        <v>52224.9</v>
      </c>
      <c r="F3" s="26">
        <v>53046.7</v>
      </c>
      <c r="G3" s="26">
        <v>57184.800000000003</v>
      </c>
      <c r="H3" s="26">
        <v>51592.3</v>
      </c>
      <c r="I3" s="26">
        <v>51316.4</v>
      </c>
      <c r="J3" s="26">
        <v>52475</v>
      </c>
      <c r="K3" s="26">
        <v>52470.2</v>
      </c>
      <c r="L3" s="26">
        <v>53758.400000000001</v>
      </c>
      <c r="M3" s="26">
        <v>53106.5</v>
      </c>
      <c r="N3" s="26">
        <v>56334.8</v>
      </c>
      <c r="O3" s="26">
        <v>51454.1</v>
      </c>
      <c r="P3" s="26">
        <v>51800.2</v>
      </c>
      <c r="Q3" s="26">
        <v>51490</v>
      </c>
      <c r="R3" s="26">
        <v>51748</v>
      </c>
      <c r="S3" s="26">
        <v>51467.7</v>
      </c>
      <c r="T3" s="26">
        <v>56454.1</v>
      </c>
      <c r="U3" s="26">
        <v>51945</v>
      </c>
      <c r="V3" s="26">
        <v>51294</v>
      </c>
      <c r="W3" s="27">
        <f>MEDIAN(C3:V3)</f>
        <v>52347.55</v>
      </c>
      <c r="X3" s="26"/>
      <c r="Y3" s="26">
        <v>107013</v>
      </c>
      <c r="Z3" s="26">
        <v>99698</v>
      </c>
      <c r="AA3" s="26">
        <v>97833.9</v>
      </c>
      <c r="AB3" s="26">
        <v>99919.3</v>
      </c>
      <c r="AC3" s="26">
        <v>98917.4</v>
      </c>
      <c r="AD3" s="26">
        <v>99003.6</v>
      </c>
      <c r="AE3" s="26">
        <v>99401.3</v>
      </c>
      <c r="AF3" s="26">
        <v>98502</v>
      </c>
      <c r="AG3" s="26">
        <v>99060.5</v>
      </c>
      <c r="AH3" s="26">
        <v>98617.7</v>
      </c>
      <c r="AI3" s="26">
        <v>100869</v>
      </c>
      <c r="AJ3" s="26">
        <v>98729.2</v>
      </c>
      <c r="AK3" s="26">
        <v>98849.5</v>
      </c>
      <c r="AL3" s="26">
        <v>104582</v>
      </c>
      <c r="AM3" s="26">
        <v>99617</v>
      </c>
      <c r="AN3" s="26">
        <v>96539.8</v>
      </c>
      <c r="AO3" s="26">
        <v>100448</v>
      </c>
      <c r="AP3" s="26">
        <v>99221.4</v>
      </c>
      <c r="AQ3" s="26">
        <v>96483.7</v>
      </c>
      <c r="AR3" s="26">
        <v>98021.6</v>
      </c>
      <c r="AS3" s="27">
        <f>MEDIAN(Y3:AR3)</f>
        <v>99032.05</v>
      </c>
      <c r="AT3" s="26"/>
      <c r="AU3" s="26">
        <v>105640</v>
      </c>
      <c r="AV3" s="26">
        <v>110686</v>
      </c>
      <c r="AW3" s="26">
        <v>99782.8</v>
      </c>
      <c r="AX3" s="26">
        <v>102039</v>
      </c>
      <c r="AY3" s="26">
        <v>102155</v>
      </c>
      <c r="AZ3" s="26">
        <v>102350</v>
      </c>
      <c r="BA3" s="26">
        <v>103090</v>
      </c>
      <c r="BB3" s="26">
        <v>103014</v>
      </c>
      <c r="BC3" s="26">
        <v>105933</v>
      </c>
      <c r="BD3" s="26">
        <v>101384</v>
      </c>
      <c r="BE3" s="26">
        <v>103424</v>
      </c>
      <c r="BF3" s="26">
        <v>104427</v>
      </c>
      <c r="BG3" s="26">
        <v>100217</v>
      </c>
      <c r="BH3" s="26">
        <v>100116</v>
      </c>
      <c r="BI3" s="26">
        <v>102596</v>
      </c>
      <c r="BJ3" s="26">
        <v>101073</v>
      </c>
      <c r="BK3" s="26">
        <v>103132</v>
      </c>
      <c r="BL3" s="26">
        <v>102151</v>
      </c>
      <c r="BM3" s="26">
        <v>100518</v>
      </c>
      <c r="BN3" s="26">
        <v>103598</v>
      </c>
      <c r="BO3" s="28">
        <f>MEDIAN(AU3:BN3)</f>
        <v>102473</v>
      </c>
    </row>
    <row r="4" spans="1:79">
      <c r="A4" s="21" t="s">
        <v>10</v>
      </c>
      <c r="B4" s="22">
        <v>8</v>
      </c>
      <c r="C4" s="22">
        <v>138157</v>
      </c>
      <c r="D4" s="22">
        <v>143132</v>
      </c>
      <c r="E4" s="22">
        <v>137757</v>
      </c>
      <c r="F4" s="22">
        <v>140586</v>
      </c>
      <c r="G4" s="22">
        <v>137217</v>
      </c>
      <c r="H4" s="22">
        <v>142276</v>
      </c>
      <c r="I4" s="22">
        <v>136968</v>
      </c>
      <c r="J4" s="22">
        <v>144445</v>
      </c>
      <c r="K4" s="22">
        <v>137775</v>
      </c>
      <c r="L4" s="22">
        <v>137342</v>
      </c>
      <c r="M4" s="22">
        <v>139499</v>
      </c>
      <c r="N4" s="22">
        <v>136483</v>
      </c>
      <c r="O4" s="22">
        <v>142729</v>
      </c>
      <c r="P4" s="22">
        <v>138044</v>
      </c>
      <c r="Q4" s="22">
        <v>139890</v>
      </c>
      <c r="R4" s="22">
        <v>138324</v>
      </c>
      <c r="S4" s="22">
        <v>144620</v>
      </c>
      <c r="T4" s="22">
        <v>135190</v>
      </c>
      <c r="U4" s="22">
        <v>140831</v>
      </c>
      <c r="V4" s="22">
        <v>138844</v>
      </c>
      <c r="W4" s="16">
        <f t="shared" ref="W4:W36" si="0">MEDIAN(C4:V4)</f>
        <v>138584</v>
      </c>
      <c r="X4" s="22"/>
      <c r="Y4" s="22">
        <v>213937</v>
      </c>
      <c r="Z4" s="22">
        <v>220637</v>
      </c>
      <c r="AA4" s="22">
        <v>215407</v>
      </c>
      <c r="AB4" s="22">
        <v>218790</v>
      </c>
      <c r="AC4" s="22">
        <v>222314</v>
      </c>
      <c r="AD4" s="22">
        <v>215900</v>
      </c>
      <c r="AE4" s="22">
        <v>213109</v>
      </c>
      <c r="AF4" s="22">
        <v>223905</v>
      </c>
      <c r="AG4" s="22">
        <v>223662</v>
      </c>
      <c r="AH4" s="22">
        <v>217361</v>
      </c>
      <c r="AI4" s="22">
        <v>529468</v>
      </c>
      <c r="AJ4" s="22">
        <v>223902</v>
      </c>
      <c r="AK4" s="22">
        <v>220565</v>
      </c>
      <c r="AL4" s="22">
        <v>220539</v>
      </c>
      <c r="AM4" s="22">
        <v>216250</v>
      </c>
      <c r="AN4" s="22">
        <v>219953</v>
      </c>
      <c r="AO4" s="22">
        <v>218747</v>
      </c>
      <c r="AP4" s="22">
        <v>218941</v>
      </c>
      <c r="AQ4" s="22">
        <v>223977</v>
      </c>
      <c r="AR4" s="22">
        <v>227324</v>
      </c>
      <c r="AS4" s="16">
        <f t="shared" ref="AS4:AS36" si="1">MEDIAN(Y4:AR4)</f>
        <v>220246</v>
      </c>
      <c r="AT4" s="22"/>
      <c r="AU4" s="22">
        <v>241236</v>
      </c>
      <c r="AV4" s="22">
        <v>228768</v>
      </c>
      <c r="AW4" s="22">
        <v>225566</v>
      </c>
      <c r="AX4" s="22">
        <v>233928</v>
      </c>
      <c r="AY4" s="22">
        <v>238258</v>
      </c>
      <c r="AZ4" s="22">
        <v>231560</v>
      </c>
      <c r="BA4" s="22">
        <v>220332</v>
      </c>
      <c r="BB4" s="22">
        <v>227482</v>
      </c>
      <c r="BC4" s="22">
        <v>234485</v>
      </c>
      <c r="BD4" s="22">
        <v>227098</v>
      </c>
      <c r="BE4" s="22">
        <v>227922</v>
      </c>
      <c r="BF4" s="22">
        <v>238083</v>
      </c>
      <c r="BG4" s="22">
        <v>232838</v>
      </c>
      <c r="BH4" s="22">
        <v>234476</v>
      </c>
      <c r="BI4" s="22">
        <v>233358</v>
      </c>
      <c r="BJ4" s="22">
        <v>345917</v>
      </c>
      <c r="BK4" s="22">
        <v>234996</v>
      </c>
      <c r="BL4" s="22">
        <v>231264</v>
      </c>
      <c r="BM4" s="22">
        <v>232444</v>
      </c>
      <c r="BN4" s="22">
        <v>229316</v>
      </c>
      <c r="BO4" s="29">
        <f t="shared" ref="BO4:BO36" si="2">MEDIAN(AU4:BN4)</f>
        <v>232641</v>
      </c>
    </row>
    <row r="5" spans="1:79">
      <c r="A5" s="21" t="s">
        <v>10</v>
      </c>
      <c r="B5" s="22">
        <v>12</v>
      </c>
      <c r="C5" s="22">
        <v>227362</v>
      </c>
      <c r="D5" s="22">
        <v>229784</v>
      </c>
      <c r="E5" s="22">
        <v>220822</v>
      </c>
      <c r="F5" s="22">
        <v>225002</v>
      </c>
      <c r="G5" s="22">
        <v>226055</v>
      </c>
      <c r="H5" s="22">
        <v>226040</v>
      </c>
      <c r="I5" s="22">
        <v>222181</v>
      </c>
      <c r="J5" s="22">
        <v>224729</v>
      </c>
      <c r="K5" s="22">
        <v>229826</v>
      </c>
      <c r="L5" s="22">
        <v>227920</v>
      </c>
      <c r="M5" s="22">
        <v>222697</v>
      </c>
      <c r="N5" s="22">
        <v>227545</v>
      </c>
      <c r="O5" s="22">
        <v>224915</v>
      </c>
      <c r="P5" s="22">
        <v>229507</v>
      </c>
      <c r="Q5" s="22">
        <v>223512</v>
      </c>
      <c r="R5" s="22">
        <v>228457</v>
      </c>
      <c r="S5" s="22">
        <v>228378</v>
      </c>
      <c r="T5" s="22">
        <v>227913</v>
      </c>
      <c r="U5" s="22">
        <v>230339</v>
      </c>
      <c r="V5" s="22">
        <v>222564</v>
      </c>
      <c r="W5" s="16">
        <f t="shared" si="0"/>
        <v>226708.5</v>
      </c>
      <c r="X5" s="22"/>
      <c r="Y5" s="22">
        <v>340462</v>
      </c>
      <c r="Z5" s="22">
        <v>340071</v>
      </c>
      <c r="AA5" s="22">
        <v>341013</v>
      </c>
      <c r="AB5" s="22">
        <v>656222</v>
      </c>
      <c r="AC5" s="22">
        <v>356556</v>
      </c>
      <c r="AD5" s="22">
        <v>346737</v>
      </c>
      <c r="AE5" s="22">
        <v>340008</v>
      </c>
      <c r="AF5" s="22">
        <v>350074</v>
      </c>
      <c r="AG5" s="22">
        <v>348245</v>
      </c>
      <c r="AH5" s="22">
        <v>347089</v>
      </c>
      <c r="AI5" s="22">
        <v>357717</v>
      </c>
      <c r="AJ5" s="22">
        <v>354248</v>
      </c>
      <c r="AK5" s="22">
        <v>352251</v>
      </c>
      <c r="AL5" s="22">
        <v>337369</v>
      </c>
      <c r="AM5" s="22">
        <v>350345</v>
      </c>
      <c r="AN5" s="22">
        <v>348224</v>
      </c>
      <c r="AO5" s="22">
        <v>345155</v>
      </c>
      <c r="AP5" s="22">
        <v>342213</v>
      </c>
      <c r="AQ5" s="22">
        <v>343778</v>
      </c>
      <c r="AR5" s="22">
        <v>347222</v>
      </c>
      <c r="AS5" s="16">
        <f t="shared" si="1"/>
        <v>347155.5</v>
      </c>
      <c r="AT5" s="22"/>
      <c r="AU5" s="22">
        <v>367010</v>
      </c>
      <c r="AV5" s="22">
        <v>360705</v>
      </c>
      <c r="AW5" s="22">
        <v>366171</v>
      </c>
      <c r="AX5" s="22">
        <v>356849</v>
      </c>
      <c r="AY5" s="22">
        <v>363363</v>
      </c>
      <c r="AZ5" s="22">
        <v>360541</v>
      </c>
      <c r="BA5" s="22">
        <v>363593</v>
      </c>
      <c r="BB5" s="22">
        <v>366810</v>
      </c>
      <c r="BC5" s="22">
        <v>360292</v>
      </c>
      <c r="BD5" s="22">
        <v>353586</v>
      </c>
      <c r="BE5" s="22">
        <v>348622</v>
      </c>
      <c r="BF5" s="22">
        <v>369419</v>
      </c>
      <c r="BG5" s="22">
        <v>361631</v>
      </c>
      <c r="BH5" s="22">
        <v>357906</v>
      </c>
      <c r="BI5" s="22">
        <v>360569</v>
      </c>
      <c r="BJ5" s="22">
        <v>353362</v>
      </c>
      <c r="BK5" s="22">
        <v>356915</v>
      </c>
      <c r="BL5" s="22">
        <v>362881</v>
      </c>
      <c r="BM5" s="22">
        <v>361285</v>
      </c>
      <c r="BN5" s="22">
        <v>364627</v>
      </c>
      <c r="BO5" s="29">
        <f t="shared" si="2"/>
        <v>360995</v>
      </c>
    </row>
    <row r="6" spans="1:79">
      <c r="A6" s="21" t="s">
        <v>10</v>
      </c>
      <c r="B6" s="22">
        <v>16</v>
      </c>
      <c r="C6" s="22">
        <v>311812</v>
      </c>
      <c r="D6" s="30">
        <v>312311</v>
      </c>
      <c r="E6" s="30">
        <v>317203</v>
      </c>
      <c r="F6" s="30">
        <v>320415</v>
      </c>
      <c r="G6" s="30">
        <v>313043</v>
      </c>
      <c r="H6" s="30">
        <v>313819</v>
      </c>
      <c r="I6" s="30">
        <v>313365</v>
      </c>
      <c r="J6" s="30">
        <v>316710</v>
      </c>
      <c r="K6" s="30">
        <v>316934</v>
      </c>
      <c r="L6" s="22">
        <v>313773</v>
      </c>
      <c r="M6" s="22">
        <v>317301</v>
      </c>
      <c r="N6" s="22">
        <v>325453</v>
      </c>
      <c r="O6" s="22">
        <v>311708</v>
      </c>
      <c r="P6" s="22">
        <v>315801</v>
      </c>
      <c r="Q6" s="22">
        <v>315594</v>
      </c>
      <c r="R6" s="22">
        <v>310628</v>
      </c>
      <c r="S6" s="22">
        <v>313124</v>
      </c>
      <c r="T6" s="22">
        <v>313807</v>
      </c>
      <c r="U6" s="22">
        <v>318110</v>
      </c>
      <c r="V6" s="22">
        <v>315518</v>
      </c>
      <c r="W6" s="16">
        <f t="shared" si="0"/>
        <v>314668.5</v>
      </c>
      <c r="X6" s="22"/>
      <c r="Y6" s="22">
        <v>472237</v>
      </c>
      <c r="Z6" s="22">
        <v>470973</v>
      </c>
      <c r="AA6" s="22">
        <v>474539</v>
      </c>
      <c r="AB6" s="22">
        <v>480199</v>
      </c>
      <c r="AC6" s="22">
        <v>477918</v>
      </c>
      <c r="AD6" s="22">
        <v>466054</v>
      </c>
      <c r="AE6" s="22">
        <v>466107</v>
      </c>
      <c r="AF6" s="22">
        <v>469507</v>
      </c>
      <c r="AG6" s="22">
        <v>465245</v>
      </c>
      <c r="AH6" s="22">
        <v>467848</v>
      </c>
      <c r="AI6" s="22">
        <v>482814</v>
      </c>
      <c r="AJ6" s="22">
        <v>466470</v>
      </c>
      <c r="AK6" s="22">
        <v>910425</v>
      </c>
      <c r="AL6" s="22">
        <v>472515</v>
      </c>
      <c r="AM6" s="22">
        <v>776229</v>
      </c>
      <c r="AN6" s="22">
        <v>468973</v>
      </c>
      <c r="AO6" s="22">
        <v>477130</v>
      </c>
      <c r="AP6" s="22">
        <v>477705</v>
      </c>
      <c r="AQ6" s="22">
        <v>481854</v>
      </c>
      <c r="AR6" s="22">
        <v>492809</v>
      </c>
      <c r="AS6" s="16">
        <f t="shared" si="1"/>
        <v>473527</v>
      </c>
      <c r="AT6" s="22"/>
      <c r="AU6" s="22">
        <v>482191</v>
      </c>
      <c r="AV6" s="22">
        <v>490611</v>
      </c>
      <c r="AW6" s="22">
        <v>975135</v>
      </c>
      <c r="AX6" s="22">
        <v>493587</v>
      </c>
      <c r="AY6" s="22">
        <v>487868</v>
      </c>
      <c r="AZ6" s="22">
        <v>495380</v>
      </c>
      <c r="BA6" s="22">
        <v>501138</v>
      </c>
      <c r="BB6" s="22">
        <v>480286</v>
      </c>
      <c r="BC6" s="22">
        <v>497066</v>
      </c>
      <c r="BD6" s="22">
        <v>499099</v>
      </c>
      <c r="BE6" s="22">
        <v>503796</v>
      </c>
      <c r="BF6" s="22">
        <v>485429</v>
      </c>
      <c r="BG6" s="22">
        <v>480688</v>
      </c>
      <c r="BH6" s="22">
        <v>490531</v>
      </c>
      <c r="BI6" s="22">
        <v>504623</v>
      </c>
      <c r="BJ6" s="22">
        <v>488820</v>
      </c>
      <c r="BK6" s="22">
        <v>476325</v>
      </c>
      <c r="BL6" s="22">
        <v>486535</v>
      </c>
      <c r="BM6" s="22">
        <v>478460</v>
      </c>
      <c r="BN6" s="22">
        <v>472854</v>
      </c>
      <c r="BO6" s="29">
        <f t="shared" si="2"/>
        <v>489675.5</v>
      </c>
    </row>
    <row r="7" spans="1:79">
      <c r="A7" s="21" t="s">
        <v>10</v>
      </c>
      <c r="B7" s="22">
        <v>20</v>
      </c>
      <c r="C7" s="22">
        <v>408308</v>
      </c>
      <c r="D7" s="30">
        <v>401067</v>
      </c>
      <c r="E7" s="30">
        <v>639839</v>
      </c>
      <c r="F7" s="30">
        <v>405575</v>
      </c>
      <c r="G7" s="30">
        <v>406429</v>
      </c>
      <c r="H7" s="30">
        <v>641755</v>
      </c>
      <c r="I7" s="30">
        <v>401904</v>
      </c>
      <c r="J7" s="30">
        <v>403350</v>
      </c>
      <c r="K7" s="30">
        <v>406453</v>
      </c>
      <c r="L7" s="22">
        <v>402562</v>
      </c>
      <c r="M7" s="22">
        <v>407217</v>
      </c>
      <c r="N7" s="22">
        <v>405727</v>
      </c>
      <c r="O7" s="22">
        <v>415339</v>
      </c>
      <c r="P7" s="22">
        <v>407115</v>
      </c>
      <c r="Q7" s="22">
        <v>402315</v>
      </c>
      <c r="R7" s="22">
        <v>410487</v>
      </c>
      <c r="S7" s="22">
        <v>406314</v>
      </c>
      <c r="T7" s="22">
        <v>404875</v>
      </c>
      <c r="U7" s="22">
        <v>409992</v>
      </c>
      <c r="V7" s="22">
        <v>403382</v>
      </c>
      <c r="W7" s="16">
        <f t="shared" si="0"/>
        <v>406371.5</v>
      </c>
      <c r="X7" s="22"/>
      <c r="Y7" s="22">
        <v>608492</v>
      </c>
      <c r="Z7" s="22">
        <v>578890</v>
      </c>
      <c r="AA7" s="22">
        <v>600167</v>
      </c>
      <c r="AB7" s="22">
        <v>592253</v>
      </c>
      <c r="AC7" s="22">
        <v>591398</v>
      </c>
      <c r="AD7" s="22">
        <v>591396</v>
      </c>
      <c r="AE7" s="22">
        <v>859856</v>
      </c>
      <c r="AF7" s="22">
        <v>593650</v>
      </c>
      <c r="AG7" s="22">
        <v>594785</v>
      </c>
      <c r="AH7" s="22">
        <v>594148</v>
      </c>
      <c r="AI7" s="22">
        <v>583032</v>
      </c>
      <c r="AJ7" s="22">
        <v>598330</v>
      </c>
      <c r="AK7" s="22">
        <v>609573</v>
      </c>
      <c r="AL7" s="22">
        <v>598868</v>
      </c>
      <c r="AM7" s="22">
        <v>583105</v>
      </c>
      <c r="AN7" s="22">
        <v>603837</v>
      </c>
      <c r="AO7" s="22">
        <v>594475</v>
      </c>
      <c r="AP7" s="22">
        <v>628060</v>
      </c>
      <c r="AQ7" s="22">
        <v>607512</v>
      </c>
      <c r="AR7" s="22">
        <v>601763</v>
      </c>
      <c r="AS7" s="16">
        <f t="shared" si="1"/>
        <v>596557.5</v>
      </c>
      <c r="AT7" s="22"/>
      <c r="AU7" s="22">
        <v>631409</v>
      </c>
      <c r="AV7" s="22">
        <v>605493</v>
      </c>
      <c r="AW7" s="22">
        <v>619289</v>
      </c>
      <c r="AX7" s="22">
        <v>622561</v>
      </c>
      <c r="AY7" s="22">
        <v>615705</v>
      </c>
      <c r="AZ7" s="22">
        <v>608723</v>
      </c>
      <c r="BA7" s="22">
        <v>620381</v>
      </c>
      <c r="BB7" s="22">
        <v>609480</v>
      </c>
      <c r="BC7" s="22">
        <v>614695</v>
      </c>
      <c r="BD7" s="22">
        <v>604996</v>
      </c>
      <c r="BE7" s="22">
        <v>617521</v>
      </c>
      <c r="BF7" s="22">
        <v>622926</v>
      </c>
      <c r="BG7" s="22">
        <v>600841</v>
      </c>
      <c r="BH7" s="22">
        <v>616688</v>
      </c>
      <c r="BI7" s="22">
        <v>608922</v>
      </c>
      <c r="BJ7" s="22">
        <v>619792</v>
      </c>
      <c r="BK7" s="22">
        <v>629812</v>
      </c>
      <c r="BL7" s="22">
        <v>605120</v>
      </c>
      <c r="BM7" s="22">
        <v>631646</v>
      </c>
      <c r="BN7" s="22">
        <v>616871</v>
      </c>
      <c r="BO7" s="29">
        <f t="shared" si="2"/>
        <v>616779.5</v>
      </c>
    </row>
    <row r="8" spans="1:79">
      <c r="A8" s="21" t="s">
        <v>10</v>
      </c>
      <c r="B8" s="22">
        <v>24</v>
      </c>
      <c r="C8" s="22">
        <v>496578</v>
      </c>
      <c r="D8" s="30">
        <v>498546</v>
      </c>
      <c r="E8" s="30">
        <v>497866</v>
      </c>
      <c r="F8" s="30">
        <v>501732</v>
      </c>
      <c r="G8" s="30">
        <v>501882</v>
      </c>
      <c r="H8" s="30">
        <v>500897</v>
      </c>
      <c r="I8" s="30">
        <v>501600</v>
      </c>
      <c r="J8" s="30">
        <v>951094</v>
      </c>
      <c r="K8" s="30">
        <v>498581</v>
      </c>
      <c r="L8" s="22">
        <v>496686</v>
      </c>
      <c r="M8" s="22">
        <v>496905</v>
      </c>
      <c r="N8" s="22">
        <v>496201</v>
      </c>
      <c r="O8" s="22">
        <v>497195</v>
      </c>
      <c r="P8" s="22">
        <v>500992</v>
      </c>
      <c r="Q8" s="22">
        <v>494269</v>
      </c>
      <c r="R8" s="22">
        <v>499912</v>
      </c>
      <c r="S8" s="22">
        <v>497103</v>
      </c>
      <c r="T8" s="22">
        <v>498133</v>
      </c>
      <c r="U8" s="22">
        <v>502936</v>
      </c>
      <c r="V8" s="22">
        <v>505245</v>
      </c>
      <c r="W8" s="16">
        <f t="shared" si="0"/>
        <v>498563.5</v>
      </c>
      <c r="X8" s="22"/>
      <c r="Y8" s="22">
        <v>1171120</v>
      </c>
      <c r="Z8" s="22">
        <v>725751</v>
      </c>
      <c r="AA8" s="22">
        <v>714068</v>
      </c>
      <c r="AB8" s="22">
        <v>753700</v>
      </c>
      <c r="AC8" s="22">
        <v>731679</v>
      </c>
      <c r="AD8" s="22">
        <v>722698</v>
      </c>
      <c r="AE8" s="22">
        <v>743334</v>
      </c>
      <c r="AF8" s="22">
        <v>740700</v>
      </c>
      <c r="AG8" s="22">
        <v>726048</v>
      </c>
      <c r="AH8" s="22">
        <v>729484</v>
      </c>
      <c r="AI8" s="22">
        <v>738228</v>
      </c>
      <c r="AJ8" s="22">
        <v>759726</v>
      </c>
      <c r="AK8" s="22">
        <v>728893</v>
      </c>
      <c r="AL8" s="22">
        <v>722411</v>
      </c>
      <c r="AM8" s="22">
        <v>727336</v>
      </c>
      <c r="AN8" s="22">
        <v>710109</v>
      </c>
      <c r="AO8" s="22">
        <v>713304</v>
      </c>
      <c r="AP8" s="22">
        <v>730613</v>
      </c>
      <c r="AQ8" s="22">
        <v>717431</v>
      </c>
      <c r="AR8" s="22">
        <v>730004</v>
      </c>
      <c r="AS8" s="16">
        <f t="shared" si="1"/>
        <v>729188.5</v>
      </c>
      <c r="AT8" s="22"/>
      <c r="AU8" s="22">
        <v>739939</v>
      </c>
      <c r="AV8" s="22">
        <v>725959</v>
      </c>
      <c r="AW8" s="22">
        <v>724171</v>
      </c>
      <c r="AX8" s="22">
        <v>739839</v>
      </c>
      <c r="AY8" s="22">
        <v>1198050</v>
      </c>
      <c r="AZ8" s="22">
        <v>739726</v>
      </c>
      <c r="BA8" s="22">
        <v>734245</v>
      </c>
      <c r="BB8" s="22">
        <v>757723</v>
      </c>
      <c r="BC8" s="22">
        <v>731873</v>
      </c>
      <c r="BD8" s="22">
        <v>727802</v>
      </c>
      <c r="BE8" s="22">
        <v>715676</v>
      </c>
      <c r="BF8" s="22">
        <v>715236</v>
      </c>
      <c r="BG8" s="22">
        <v>726328</v>
      </c>
      <c r="BH8" s="22">
        <v>725780</v>
      </c>
      <c r="BI8" s="22">
        <v>738333</v>
      </c>
      <c r="BJ8" s="22">
        <v>985126</v>
      </c>
      <c r="BK8" s="22">
        <v>736088</v>
      </c>
      <c r="BL8" s="22">
        <v>753106</v>
      </c>
      <c r="BM8" s="22">
        <v>756900</v>
      </c>
      <c r="BN8" s="22">
        <v>728999</v>
      </c>
      <c r="BO8" s="29">
        <f t="shared" si="2"/>
        <v>735166.5</v>
      </c>
    </row>
    <row r="9" spans="1:79">
      <c r="A9" s="21" t="s">
        <v>10</v>
      </c>
      <c r="B9" s="22">
        <v>28</v>
      </c>
      <c r="C9" s="22">
        <v>602778</v>
      </c>
      <c r="D9" s="30">
        <v>598838</v>
      </c>
      <c r="E9" s="30">
        <v>597974</v>
      </c>
      <c r="F9" s="30">
        <v>598034</v>
      </c>
      <c r="G9" s="30">
        <v>599410</v>
      </c>
      <c r="H9" s="30">
        <v>595212</v>
      </c>
      <c r="I9" s="30">
        <v>602103</v>
      </c>
      <c r="J9" s="30">
        <v>593585</v>
      </c>
      <c r="K9" s="30">
        <v>592056</v>
      </c>
      <c r="L9" s="22">
        <v>597264</v>
      </c>
      <c r="M9" s="22">
        <v>610852</v>
      </c>
      <c r="N9" s="22">
        <v>597604</v>
      </c>
      <c r="O9" s="22">
        <v>592582</v>
      </c>
      <c r="P9" s="22">
        <v>591065</v>
      </c>
      <c r="Q9" s="22">
        <v>592299</v>
      </c>
      <c r="R9" s="22">
        <v>597856</v>
      </c>
      <c r="S9" s="22">
        <v>591840</v>
      </c>
      <c r="T9" s="22">
        <v>592325</v>
      </c>
      <c r="U9" s="22">
        <v>600404</v>
      </c>
      <c r="V9" s="22">
        <v>596012</v>
      </c>
      <c r="W9" s="16">
        <f t="shared" si="0"/>
        <v>597434</v>
      </c>
      <c r="X9" s="22"/>
      <c r="Y9" s="22">
        <v>841093</v>
      </c>
      <c r="Z9" s="22">
        <v>844739</v>
      </c>
      <c r="AA9" s="22">
        <v>827337</v>
      </c>
      <c r="AB9" s="22">
        <v>833523</v>
      </c>
      <c r="AC9" s="22">
        <v>858217</v>
      </c>
      <c r="AD9" s="22">
        <v>827506</v>
      </c>
      <c r="AE9" s="22">
        <v>1261110</v>
      </c>
      <c r="AF9" s="22">
        <v>850719</v>
      </c>
      <c r="AG9" s="22">
        <v>827521</v>
      </c>
      <c r="AH9" s="22">
        <v>859420</v>
      </c>
      <c r="AI9" s="22">
        <v>830158</v>
      </c>
      <c r="AJ9" s="22">
        <v>837514</v>
      </c>
      <c r="AK9" s="22">
        <v>892664</v>
      </c>
      <c r="AL9" s="22">
        <v>853695</v>
      </c>
      <c r="AM9" s="22">
        <v>846934</v>
      </c>
      <c r="AN9" s="22">
        <v>836529</v>
      </c>
      <c r="AO9" s="22">
        <v>836234</v>
      </c>
      <c r="AP9" s="22">
        <v>854297</v>
      </c>
      <c r="AQ9" s="22">
        <v>847722</v>
      </c>
      <c r="AR9" s="22">
        <v>858164</v>
      </c>
      <c r="AS9" s="16">
        <f t="shared" si="1"/>
        <v>845836.5</v>
      </c>
      <c r="AT9" s="22"/>
      <c r="AU9" s="22">
        <v>877562</v>
      </c>
      <c r="AV9" s="22">
        <v>863750</v>
      </c>
      <c r="AW9" s="22">
        <v>1327800</v>
      </c>
      <c r="AX9" s="22">
        <v>858866</v>
      </c>
      <c r="AY9" s="22">
        <v>867021</v>
      </c>
      <c r="AZ9" s="22">
        <v>887000</v>
      </c>
      <c r="BA9" s="22">
        <v>863233</v>
      </c>
      <c r="BB9" s="22">
        <v>875273</v>
      </c>
      <c r="BC9" s="22">
        <v>883976</v>
      </c>
      <c r="BD9" s="22">
        <v>863439</v>
      </c>
      <c r="BE9" s="22">
        <v>881308</v>
      </c>
      <c r="BF9" s="22">
        <v>885522</v>
      </c>
      <c r="BG9" s="22">
        <v>1357410</v>
      </c>
      <c r="BH9" s="22">
        <v>888710</v>
      </c>
      <c r="BI9" s="22">
        <v>862165</v>
      </c>
      <c r="BJ9" s="22">
        <v>857668</v>
      </c>
      <c r="BK9" s="22">
        <v>885440</v>
      </c>
      <c r="BL9" s="22">
        <v>863790</v>
      </c>
      <c r="BM9" s="22">
        <v>869710</v>
      </c>
      <c r="BN9" s="22">
        <v>1335560</v>
      </c>
      <c r="BO9" s="29">
        <f t="shared" si="2"/>
        <v>876417.5</v>
      </c>
    </row>
    <row r="10" spans="1:79" ht="15.75" thickBot="1">
      <c r="A10" s="31" t="s">
        <v>10</v>
      </c>
      <c r="B10" s="32">
        <v>32</v>
      </c>
      <c r="C10" s="32">
        <v>696543</v>
      </c>
      <c r="D10" s="33">
        <v>701603</v>
      </c>
      <c r="E10" s="33">
        <v>693575</v>
      </c>
      <c r="F10" s="33">
        <v>694369</v>
      </c>
      <c r="G10" s="33">
        <v>700695</v>
      </c>
      <c r="H10" s="33">
        <v>694616</v>
      </c>
      <c r="I10" s="33">
        <v>687788</v>
      </c>
      <c r="J10" s="33">
        <v>743996</v>
      </c>
      <c r="K10" s="33">
        <v>697800</v>
      </c>
      <c r="L10" s="32">
        <v>862300</v>
      </c>
      <c r="M10" s="32">
        <v>695165</v>
      </c>
      <c r="N10" s="32">
        <v>699200</v>
      </c>
      <c r="O10" s="32">
        <v>1165250</v>
      </c>
      <c r="P10" s="32">
        <v>694451</v>
      </c>
      <c r="Q10" s="32">
        <v>695451</v>
      </c>
      <c r="R10" s="32">
        <v>693990</v>
      </c>
      <c r="S10" s="32">
        <v>693455</v>
      </c>
      <c r="T10" s="32">
        <v>704566</v>
      </c>
      <c r="U10" s="32">
        <v>690168</v>
      </c>
      <c r="V10" s="32">
        <v>690967</v>
      </c>
      <c r="W10" s="18">
        <f t="shared" si="0"/>
        <v>695308</v>
      </c>
      <c r="X10" s="32"/>
      <c r="Y10" s="32">
        <v>997611</v>
      </c>
      <c r="Z10" s="32">
        <v>965638</v>
      </c>
      <c r="AA10" s="32">
        <v>954949</v>
      </c>
      <c r="AB10" s="32">
        <v>975266</v>
      </c>
      <c r="AC10" s="32">
        <v>975230</v>
      </c>
      <c r="AD10" s="32">
        <v>995964</v>
      </c>
      <c r="AE10" s="32">
        <v>975367</v>
      </c>
      <c r="AF10" s="32">
        <v>939933</v>
      </c>
      <c r="AG10" s="32">
        <v>981984</v>
      </c>
      <c r="AH10" s="32">
        <v>955110</v>
      </c>
      <c r="AI10" s="32">
        <v>966091</v>
      </c>
      <c r="AJ10" s="32">
        <v>982781</v>
      </c>
      <c r="AK10" s="32">
        <v>1361600</v>
      </c>
      <c r="AL10" s="32">
        <v>994153</v>
      </c>
      <c r="AM10" s="32">
        <v>990956</v>
      </c>
      <c r="AN10" s="32">
        <v>975953</v>
      </c>
      <c r="AO10" s="32">
        <v>1374270</v>
      </c>
      <c r="AP10" s="32">
        <v>985557</v>
      </c>
      <c r="AQ10" s="32">
        <v>963461</v>
      </c>
      <c r="AR10" s="32">
        <v>947640</v>
      </c>
      <c r="AS10" s="18">
        <f t="shared" si="1"/>
        <v>975660</v>
      </c>
      <c r="AT10" s="32"/>
      <c r="AU10" s="32">
        <v>1036600</v>
      </c>
      <c r="AV10" s="32">
        <v>987088</v>
      </c>
      <c r="AW10" s="32">
        <v>1006580</v>
      </c>
      <c r="AX10" s="32">
        <v>1445280</v>
      </c>
      <c r="AY10" s="32">
        <v>1032600</v>
      </c>
      <c r="AZ10" s="32">
        <v>985072</v>
      </c>
      <c r="BA10" s="32">
        <v>994328</v>
      </c>
      <c r="BB10" s="32">
        <v>974245</v>
      </c>
      <c r="BC10" s="32">
        <v>1007360</v>
      </c>
      <c r="BD10" s="32">
        <v>1019060</v>
      </c>
      <c r="BE10" s="32">
        <v>1035740</v>
      </c>
      <c r="BF10" s="32">
        <v>998558</v>
      </c>
      <c r="BG10" s="32">
        <v>1007430</v>
      </c>
      <c r="BH10" s="32">
        <v>1013840</v>
      </c>
      <c r="BI10" s="32">
        <v>1018110</v>
      </c>
      <c r="BJ10" s="32">
        <v>987614</v>
      </c>
      <c r="BK10" s="32">
        <v>1020650</v>
      </c>
      <c r="BL10" s="32">
        <v>972853</v>
      </c>
      <c r="BM10" s="32">
        <v>984443</v>
      </c>
      <c r="BN10" s="32">
        <v>1008050</v>
      </c>
      <c r="BO10" s="34">
        <f t="shared" si="2"/>
        <v>1007395</v>
      </c>
    </row>
    <row r="11" spans="1:79">
      <c r="D11" s="23"/>
      <c r="E11" s="23"/>
      <c r="F11" s="23"/>
      <c r="G11" s="23"/>
      <c r="H11" s="23"/>
      <c r="I11" s="23"/>
      <c r="J11" s="23"/>
      <c r="K11" s="23"/>
    </row>
    <row r="12" spans="1:79">
      <c r="D12" s="23"/>
      <c r="E12" s="23"/>
      <c r="F12" s="23"/>
      <c r="G12" s="23"/>
      <c r="H12" s="23"/>
      <c r="I12" s="23"/>
      <c r="J12" s="23"/>
      <c r="K12" s="23"/>
    </row>
    <row r="13" spans="1:79">
      <c r="D13" s="23"/>
      <c r="E13" s="23"/>
      <c r="F13" s="23"/>
      <c r="G13" s="23"/>
      <c r="H13" s="23"/>
      <c r="I13" s="23"/>
      <c r="J13" s="23"/>
      <c r="K13" s="23"/>
    </row>
    <row r="14" spans="1:79">
      <c r="D14" s="23"/>
      <c r="E14" s="23"/>
      <c r="F14" s="23"/>
      <c r="G14" s="23"/>
      <c r="H14" s="23"/>
      <c r="I14" s="23"/>
      <c r="J14" s="23"/>
      <c r="K14" s="23"/>
    </row>
    <row r="15" spans="1:79" ht="15.75" thickBot="1">
      <c r="A15" s="36" t="s">
        <v>8</v>
      </c>
      <c r="D15" s="23"/>
      <c r="E15" s="23"/>
      <c r="F15" s="23"/>
      <c r="G15" s="23"/>
      <c r="H15" s="23"/>
      <c r="I15" s="23"/>
      <c r="J15" s="23"/>
      <c r="K15" s="23"/>
    </row>
    <row r="16" spans="1:79">
      <c r="A16" s="25" t="s">
        <v>10</v>
      </c>
      <c r="B16" s="26">
        <v>4</v>
      </c>
      <c r="C16" s="26">
        <v>79356.399999999994</v>
      </c>
      <c r="D16" s="26">
        <v>71060.899999999994</v>
      </c>
      <c r="E16" s="26">
        <v>70036.800000000003</v>
      </c>
      <c r="F16" s="26">
        <v>70935.199999999997</v>
      </c>
      <c r="G16" s="26">
        <v>71349.399999999994</v>
      </c>
      <c r="H16" s="26">
        <v>69807.199999999997</v>
      </c>
      <c r="I16" s="26">
        <v>70135.899999999994</v>
      </c>
      <c r="J16" s="26">
        <v>71466</v>
      </c>
      <c r="K16" s="26">
        <v>72459</v>
      </c>
      <c r="L16" s="26">
        <v>69136.600000000006</v>
      </c>
      <c r="M16" s="26">
        <v>70287.7</v>
      </c>
      <c r="N16" s="26">
        <v>69479.8</v>
      </c>
      <c r="O16" s="26">
        <v>73652.899999999994</v>
      </c>
      <c r="P16" s="26">
        <v>69590.2</v>
      </c>
      <c r="Q16" s="26">
        <v>69616.899999999994</v>
      </c>
      <c r="R16" s="26">
        <v>70127.899999999994</v>
      </c>
      <c r="S16" s="26">
        <v>71310.899999999994</v>
      </c>
      <c r="T16" s="26">
        <v>69187.100000000006</v>
      </c>
      <c r="U16" s="26">
        <v>69057.600000000006</v>
      </c>
      <c r="V16" s="26">
        <v>69507.600000000006</v>
      </c>
      <c r="W16" s="27">
        <f t="shared" si="0"/>
        <v>70131.899999999994</v>
      </c>
      <c r="X16" s="26"/>
      <c r="Y16" s="26">
        <v>91202.4</v>
      </c>
      <c r="Z16" s="26">
        <v>79838.399999999994</v>
      </c>
      <c r="AA16" s="26">
        <v>90655</v>
      </c>
      <c r="AB16" s="26">
        <v>88113.7</v>
      </c>
      <c r="AC16" s="26">
        <v>84868</v>
      </c>
      <c r="AD16" s="26">
        <v>87450.2</v>
      </c>
      <c r="AE16" s="26">
        <v>86517.5</v>
      </c>
      <c r="AF16" s="26">
        <v>84875.7</v>
      </c>
      <c r="AG16" s="26">
        <v>88706.1</v>
      </c>
      <c r="AH16" s="26">
        <v>87730.7</v>
      </c>
      <c r="AI16" s="26">
        <v>85483.199999999997</v>
      </c>
      <c r="AJ16" s="26">
        <v>89439.3</v>
      </c>
      <c r="AK16" s="26">
        <v>86403.3</v>
      </c>
      <c r="AL16" s="26">
        <v>85628.800000000003</v>
      </c>
      <c r="AM16" s="26">
        <v>86211.9</v>
      </c>
      <c r="AN16" s="26">
        <v>87707.3</v>
      </c>
      <c r="AO16" s="26">
        <v>87351.9</v>
      </c>
      <c r="AP16" s="26">
        <v>88901.8</v>
      </c>
      <c r="AQ16" s="26">
        <v>89317.8</v>
      </c>
      <c r="AR16" s="26">
        <v>89133.8</v>
      </c>
      <c r="AS16" s="27">
        <f t="shared" si="1"/>
        <v>87578.75</v>
      </c>
      <c r="AT16" s="26"/>
      <c r="AU16" s="26">
        <v>92835.5</v>
      </c>
      <c r="AV16" s="26">
        <v>87536.9</v>
      </c>
      <c r="AW16" s="26">
        <v>92355.199999999997</v>
      </c>
      <c r="AX16" s="26">
        <v>93125.5</v>
      </c>
      <c r="AY16" s="26">
        <v>91401</v>
      </c>
      <c r="AZ16" s="26">
        <v>89322.4</v>
      </c>
      <c r="BA16" s="26">
        <v>90745.3</v>
      </c>
      <c r="BB16" s="26">
        <v>89770.1</v>
      </c>
      <c r="BC16" s="26">
        <v>91335</v>
      </c>
      <c r="BD16" s="26">
        <v>91157.2</v>
      </c>
      <c r="BE16" s="26">
        <v>91212.5</v>
      </c>
      <c r="BF16" s="26">
        <v>91129.4</v>
      </c>
      <c r="BG16" s="26">
        <v>92707</v>
      </c>
      <c r="BH16" s="26">
        <v>83992.2</v>
      </c>
      <c r="BI16" s="26">
        <v>90742</v>
      </c>
      <c r="BJ16" s="26">
        <v>90478.8</v>
      </c>
      <c r="BK16" s="26">
        <v>91422.2</v>
      </c>
      <c r="BL16" s="26">
        <v>90076.6</v>
      </c>
      <c r="BM16" s="26">
        <v>86147.199999999997</v>
      </c>
      <c r="BN16" s="26">
        <v>83686.8</v>
      </c>
      <c r="BO16" s="28">
        <f t="shared" si="2"/>
        <v>90937.35</v>
      </c>
    </row>
    <row r="17" spans="1:67">
      <c r="A17" s="21" t="s">
        <v>10</v>
      </c>
      <c r="B17" s="22">
        <v>8</v>
      </c>
      <c r="C17" s="22">
        <v>188345</v>
      </c>
      <c r="D17" s="22">
        <v>187267</v>
      </c>
      <c r="E17" s="22">
        <v>187994</v>
      </c>
      <c r="F17" s="22">
        <v>187931</v>
      </c>
      <c r="G17" s="22">
        <v>189516</v>
      </c>
      <c r="H17" s="22">
        <v>189791</v>
      </c>
      <c r="I17" s="22">
        <v>186732</v>
      </c>
      <c r="J17" s="22">
        <v>190588</v>
      </c>
      <c r="K17" s="22">
        <v>188037</v>
      </c>
      <c r="L17" s="22">
        <v>187619</v>
      </c>
      <c r="M17" s="22">
        <v>185097</v>
      </c>
      <c r="N17" s="22">
        <v>189771</v>
      </c>
      <c r="O17" s="22">
        <v>187180</v>
      </c>
      <c r="P17" s="22">
        <v>190421</v>
      </c>
      <c r="Q17" s="22">
        <v>187640</v>
      </c>
      <c r="R17" s="22">
        <v>190321</v>
      </c>
      <c r="S17" s="22">
        <v>187269</v>
      </c>
      <c r="T17" s="22">
        <v>188294</v>
      </c>
      <c r="U17" s="22">
        <v>187140</v>
      </c>
      <c r="V17" s="22">
        <v>190456</v>
      </c>
      <c r="W17" s="16">
        <f t="shared" si="0"/>
        <v>188015.5</v>
      </c>
      <c r="X17" s="22"/>
      <c r="Y17" s="22">
        <v>204053</v>
      </c>
      <c r="Z17" s="22">
        <v>202614</v>
      </c>
      <c r="AA17" s="22">
        <v>200904</v>
      </c>
      <c r="AB17" s="22">
        <v>198203</v>
      </c>
      <c r="AC17" s="22">
        <v>198770</v>
      </c>
      <c r="AD17" s="22">
        <v>206206</v>
      </c>
      <c r="AE17" s="22">
        <v>196910</v>
      </c>
      <c r="AF17" s="22">
        <v>195124</v>
      </c>
      <c r="AG17" s="22">
        <v>200864</v>
      </c>
      <c r="AH17" s="22">
        <v>200660</v>
      </c>
      <c r="AI17" s="22">
        <v>206106</v>
      </c>
      <c r="AJ17" s="22">
        <v>197787</v>
      </c>
      <c r="AK17" s="22">
        <v>202471</v>
      </c>
      <c r="AL17" s="22">
        <v>200821</v>
      </c>
      <c r="AM17" s="22">
        <v>196577</v>
      </c>
      <c r="AN17" s="22">
        <v>194230</v>
      </c>
      <c r="AO17" s="22">
        <v>193312</v>
      </c>
      <c r="AP17" s="22">
        <v>197792</v>
      </c>
      <c r="AQ17" s="22">
        <v>203749</v>
      </c>
      <c r="AR17" s="22">
        <v>198401</v>
      </c>
      <c r="AS17" s="16">
        <f t="shared" si="1"/>
        <v>199715</v>
      </c>
      <c r="AT17" s="22"/>
      <c r="AU17" s="22">
        <v>200984</v>
      </c>
      <c r="AV17" s="22">
        <v>207153</v>
      </c>
      <c r="AW17" s="22">
        <v>203872</v>
      </c>
      <c r="AX17" s="22">
        <v>203631</v>
      </c>
      <c r="AY17" s="22">
        <v>204719</v>
      </c>
      <c r="AZ17" s="22">
        <v>203137</v>
      </c>
      <c r="BA17" s="22">
        <v>210155</v>
      </c>
      <c r="BB17" s="22">
        <v>205383</v>
      </c>
      <c r="BC17" s="22">
        <v>202454</v>
      </c>
      <c r="BD17" s="22">
        <v>199997</v>
      </c>
      <c r="BE17" s="22">
        <v>210331</v>
      </c>
      <c r="BF17" s="22">
        <v>205535</v>
      </c>
      <c r="BG17" s="22">
        <v>204061</v>
      </c>
      <c r="BH17" s="22">
        <v>203730</v>
      </c>
      <c r="BI17" s="22">
        <v>206492</v>
      </c>
      <c r="BJ17" s="22">
        <v>203887</v>
      </c>
      <c r="BK17" s="22">
        <v>210355</v>
      </c>
      <c r="BL17" s="22">
        <v>209729</v>
      </c>
      <c r="BM17" s="22">
        <v>201532</v>
      </c>
      <c r="BN17" s="22">
        <v>211740</v>
      </c>
      <c r="BO17" s="29">
        <f t="shared" si="2"/>
        <v>204390</v>
      </c>
    </row>
    <row r="18" spans="1:67">
      <c r="A18" s="21" t="s">
        <v>10</v>
      </c>
      <c r="B18" s="22">
        <v>12</v>
      </c>
      <c r="C18" s="22">
        <v>303512</v>
      </c>
      <c r="D18" s="22">
        <v>303880</v>
      </c>
      <c r="E18" s="22">
        <v>304569</v>
      </c>
      <c r="F18" s="22">
        <v>304538</v>
      </c>
      <c r="G18" s="22">
        <v>304356</v>
      </c>
      <c r="H18" s="22">
        <v>304467</v>
      </c>
      <c r="I18" s="22">
        <v>305009</v>
      </c>
      <c r="J18" s="22">
        <v>299692</v>
      </c>
      <c r="K18" s="22">
        <v>304010</v>
      </c>
      <c r="L18" s="22">
        <v>305014</v>
      </c>
      <c r="M18" s="22">
        <v>304286</v>
      </c>
      <c r="N18" s="22">
        <v>303145</v>
      </c>
      <c r="O18" s="22">
        <v>302702</v>
      </c>
      <c r="P18" s="22">
        <v>302260</v>
      </c>
      <c r="Q18" s="22">
        <v>300213</v>
      </c>
      <c r="R18" s="22">
        <v>305033</v>
      </c>
      <c r="S18" s="22">
        <v>299006</v>
      </c>
      <c r="T18" s="22">
        <v>300053</v>
      </c>
      <c r="U18" s="22">
        <v>304232</v>
      </c>
      <c r="V18" s="22">
        <v>314729</v>
      </c>
      <c r="W18" s="16">
        <f t="shared" si="0"/>
        <v>304121</v>
      </c>
      <c r="X18" s="22"/>
      <c r="Y18" s="22">
        <v>305621</v>
      </c>
      <c r="Z18" s="22">
        <v>305536</v>
      </c>
      <c r="AA18" s="22">
        <v>297469</v>
      </c>
      <c r="AB18" s="22">
        <v>316546</v>
      </c>
      <c r="AC18" s="22">
        <v>308823</v>
      </c>
      <c r="AD18" s="22">
        <v>309257</v>
      </c>
      <c r="AE18" s="22">
        <v>308774</v>
      </c>
      <c r="AF18" s="22">
        <v>297595</v>
      </c>
      <c r="AG18" s="22">
        <v>302392</v>
      </c>
      <c r="AH18" s="22">
        <v>316463</v>
      </c>
      <c r="AI18" s="22">
        <v>308591</v>
      </c>
      <c r="AJ18" s="22">
        <v>311648</v>
      </c>
      <c r="AK18" s="22">
        <v>311537</v>
      </c>
      <c r="AL18" s="22">
        <v>314820</v>
      </c>
      <c r="AM18" s="22">
        <v>312639</v>
      </c>
      <c r="AN18" s="22">
        <v>302270</v>
      </c>
      <c r="AO18" s="22">
        <v>307944</v>
      </c>
      <c r="AP18" s="22">
        <v>322061</v>
      </c>
      <c r="AQ18" s="22">
        <v>313902</v>
      </c>
      <c r="AR18" s="22">
        <v>677140</v>
      </c>
      <c r="AS18" s="16">
        <f t="shared" si="1"/>
        <v>309040</v>
      </c>
      <c r="AT18" s="22"/>
      <c r="AU18" s="22">
        <v>320375</v>
      </c>
      <c r="AV18" s="22">
        <v>631965</v>
      </c>
      <c r="AW18" s="22">
        <v>324208</v>
      </c>
      <c r="AX18" s="22">
        <v>323765</v>
      </c>
      <c r="AY18" s="22">
        <v>320120</v>
      </c>
      <c r="AZ18" s="22">
        <v>322796</v>
      </c>
      <c r="BA18" s="22">
        <v>320376</v>
      </c>
      <c r="BB18" s="22">
        <v>317713</v>
      </c>
      <c r="BC18" s="22">
        <v>310301</v>
      </c>
      <c r="BD18" s="22">
        <v>312109</v>
      </c>
      <c r="BE18" s="22">
        <v>314328</v>
      </c>
      <c r="BF18" s="22">
        <v>317152</v>
      </c>
      <c r="BG18" s="22">
        <v>320787</v>
      </c>
      <c r="BH18" s="22">
        <v>319769</v>
      </c>
      <c r="BI18" s="22">
        <v>321263</v>
      </c>
      <c r="BJ18" s="22">
        <v>318071</v>
      </c>
      <c r="BK18" s="22">
        <v>321364</v>
      </c>
      <c r="BL18" s="22">
        <v>320077</v>
      </c>
      <c r="BM18" s="22">
        <v>321532</v>
      </c>
      <c r="BN18" s="22">
        <v>615814</v>
      </c>
      <c r="BO18" s="29">
        <f t="shared" si="2"/>
        <v>320375.5</v>
      </c>
    </row>
    <row r="19" spans="1:67">
      <c r="A19" s="21" t="s">
        <v>10</v>
      </c>
      <c r="B19" s="22">
        <v>16</v>
      </c>
      <c r="C19" s="22">
        <v>415361</v>
      </c>
      <c r="D19" s="22">
        <v>416361</v>
      </c>
      <c r="E19" s="22">
        <v>410591</v>
      </c>
      <c r="F19" s="22">
        <v>413188</v>
      </c>
      <c r="G19" s="22">
        <v>412591</v>
      </c>
      <c r="H19" s="22">
        <v>412146</v>
      </c>
      <c r="I19" s="22">
        <v>417198</v>
      </c>
      <c r="J19" s="22">
        <v>416281</v>
      </c>
      <c r="K19" s="22">
        <v>417084</v>
      </c>
      <c r="L19" s="22">
        <v>418145</v>
      </c>
      <c r="M19" s="22">
        <v>418608</v>
      </c>
      <c r="N19" s="22">
        <v>415672</v>
      </c>
      <c r="O19" s="22">
        <v>414433</v>
      </c>
      <c r="P19" s="22">
        <v>414733</v>
      </c>
      <c r="Q19" s="22">
        <v>415153</v>
      </c>
      <c r="R19" s="22">
        <v>412588</v>
      </c>
      <c r="S19" s="22">
        <v>415110</v>
      </c>
      <c r="T19" s="22">
        <v>417214</v>
      </c>
      <c r="U19" s="22">
        <v>414010</v>
      </c>
      <c r="V19" s="22">
        <v>414891</v>
      </c>
      <c r="W19" s="16">
        <f t="shared" si="0"/>
        <v>415131.5</v>
      </c>
      <c r="X19" s="22"/>
      <c r="Y19" s="22">
        <v>418243</v>
      </c>
      <c r="Z19" s="22">
        <v>435373</v>
      </c>
      <c r="AA19" s="22">
        <v>403594</v>
      </c>
      <c r="AB19" s="22">
        <v>420537</v>
      </c>
      <c r="AC19" s="22">
        <v>413291</v>
      </c>
      <c r="AD19" s="22">
        <v>420289</v>
      </c>
      <c r="AE19" s="22">
        <v>420275</v>
      </c>
      <c r="AF19" s="22">
        <v>415525</v>
      </c>
      <c r="AG19" s="22">
        <v>413663</v>
      </c>
      <c r="AH19" s="22">
        <v>403966</v>
      </c>
      <c r="AI19" s="22">
        <v>819881</v>
      </c>
      <c r="AJ19" s="22">
        <v>625200</v>
      </c>
      <c r="AK19" s="22">
        <v>412019</v>
      </c>
      <c r="AL19" s="22">
        <v>420261</v>
      </c>
      <c r="AM19" s="22">
        <v>417782</v>
      </c>
      <c r="AN19" s="22">
        <v>415955</v>
      </c>
      <c r="AO19" s="22">
        <v>422428</v>
      </c>
      <c r="AP19" s="22">
        <v>727102</v>
      </c>
      <c r="AQ19" s="22">
        <v>412576</v>
      </c>
      <c r="AR19" s="22">
        <v>422576</v>
      </c>
      <c r="AS19" s="16">
        <f t="shared" si="1"/>
        <v>419252</v>
      </c>
      <c r="AT19" s="22"/>
      <c r="AU19" s="22">
        <v>428921</v>
      </c>
      <c r="AV19" s="22">
        <v>413260</v>
      </c>
      <c r="AW19" s="22">
        <v>402259</v>
      </c>
      <c r="AX19" s="22">
        <v>411684</v>
      </c>
      <c r="AY19" s="22">
        <v>416445</v>
      </c>
      <c r="AZ19" s="22">
        <v>419633</v>
      </c>
      <c r="BA19" s="22">
        <v>402424</v>
      </c>
      <c r="BB19" s="22">
        <v>412027</v>
      </c>
      <c r="BC19" s="22">
        <v>420775</v>
      </c>
      <c r="BD19" s="22">
        <v>433382</v>
      </c>
      <c r="BE19" s="22">
        <v>425894</v>
      </c>
      <c r="BF19" s="22">
        <v>433736</v>
      </c>
      <c r="BG19" s="22">
        <v>416928</v>
      </c>
      <c r="BH19" s="22">
        <v>420273</v>
      </c>
      <c r="BI19" s="22">
        <v>423470</v>
      </c>
      <c r="BJ19" s="22">
        <v>415190</v>
      </c>
      <c r="BK19" s="22">
        <v>425197</v>
      </c>
      <c r="BL19" s="22">
        <v>421833</v>
      </c>
      <c r="BM19" s="22">
        <v>417766</v>
      </c>
      <c r="BN19" s="22">
        <v>429383</v>
      </c>
      <c r="BO19" s="29">
        <f t="shared" si="2"/>
        <v>419953</v>
      </c>
    </row>
    <row r="20" spans="1:67">
      <c r="A20" s="21" t="s">
        <v>10</v>
      </c>
      <c r="B20" s="22">
        <v>20</v>
      </c>
      <c r="C20" s="22">
        <v>532685</v>
      </c>
      <c r="D20" s="22">
        <v>525992</v>
      </c>
      <c r="E20" s="22">
        <v>525203</v>
      </c>
      <c r="F20" s="22">
        <v>537344</v>
      </c>
      <c r="G20" s="22">
        <v>533155</v>
      </c>
      <c r="H20" s="22">
        <v>528833</v>
      </c>
      <c r="I20" s="22">
        <v>528644</v>
      </c>
      <c r="J20" s="22">
        <v>529960</v>
      </c>
      <c r="K20" s="22">
        <v>528615</v>
      </c>
      <c r="L20" s="22">
        <v>527925</v>
      </c>
      <c r="M20" s="22">
        <v>582272</v>
      </c>
      <c r="N20" s="22">
        <v>523664</v>
      </c>
      <c r="O20" s="22">
        <v>527788</v>
      </c>
      <c r="P20" s="22">
        <v>527631</v>
      </c>
      <c r="Q20" s="22">
        <v>529240</v>
      </c>
      <c r="R20" s="22">
        <v>533375</v>
      </c>
      <c r="S20" s="22">
        <v>529565</v>
      </c>
      <c r="T20" s="22">
        <v>528681</v>
      </c>
      <c r="U20" s="22">
        <v>532446</v>
      </c>
      <c r="V20" s="22">
        <v>525023</v>
      </c>
      <c r="W20" s="16">
        <f t="shared" si="0"/>
        <v>528757</v>
      </c>
      <c r="X20" s="22"/>
      <c r="Y20" s="22">
        <v>521712</v>
      </c>
      <c r="Z20" s="22">
        <v>532639</v>
      </c>
      <c r="AA20" s="22">
        <v>507712</v>
      </c>
      <c r="AB20" s="22">
        <v>521344</v>
      </c>
      <c r="AC20" s="22">
        <v>527383</v>
      </c>
      <c r="AD20" s="22">
        <v>529986</v>
      </c>
      <c r="AE20" s="22">
        <v>519310</v>
      </c>
      <c r="AF20" s="22">
        <v>534663</v>
      </c>
      <c r="AG20" s="22">
        <v>528843</v>
      </c>
      <c r="AH20" s="22">
        <v>533025</v>
      </c>
      <c r="AI20" s="22">
        <v>523993</v>
      </c>
      <c r="AJ20" s="22">
        <v>525908</v>
      </c>
      <c r="AK20" s="22">
        <v>525777</v>
      </c>
      <c r="AL20" s="22">
        <v>512257</v>
      </c>
      <c r="AM20" s="22">
        <v>540037</v>
      </c>
      <c r="AN20" s="22">
        <v>542113</v>
      </c>
      <c r="AO20" s="22">
        <v>520861</v>
      </c>
      <c r="AP20" s="22">
        <v>529339</v>
      </c>
      <c r="AQ20" s="22">
        <v>528162</v>
      </c>
      <c r="AR20" s="22">
        <v>525749</v>
      </c>
      <c r="AS20" s="16">
        <f t="shared" si="1"/>
        <v>526645.5</v>
      </c>
      <c r="AT20" s="22"/>
      <c r="AU20" s="22">
        <v>527753</v>
      </c>
      <c r="AV20" s="22">
        <v>531193</v>
      </c>
      <c r="AW20" s="22">
        <v>528183</v>
      </c>
      <c r="AX20" s="22">
        <v>522779</v>
      </c>
      <c r="AY20" s="22">
        <v>534534</v>
      </c>
      <c r="AZ20" s="22">
        <v>533987</v>
      </c>
      <c r="BA20" s="22">
        <v>527254</v>
      </c>
      <c r="BB20" s="22">
        <v>537443</v>
      </c>
      <c r="BC20" s="22">
        <v>544167</v>
      </c>
      <c r="BD20" s="22">
        <v>528572</v>
      </c>
      <c r="BE20" s="22">
        <v>539072</v>
      </c>
      <c r="BF20" s="22">
        <v>534487</v>
      </c>
      <c r="BG20" s="22">
        <v>542318</v>
      </c>
      <c r="BH20" s="22">
        <v>541867</v>
      </c>
      <c r="BI20" s="22">
        <v>530897</v>
      </c>
      <c r="BJ20" s="22">
        <v>526085</v>
      </c>
      <c r="BK20" s="22">
        <v>532103</v>
      </c>
      <c r="BL20" s="22">
        <v>534945</v>
      </c>
      <c r="BM20" s="22">
        <v>536202</v>
      </c>
      <c r="BN20" s="22">
        <v>523219</v>
      </c>
      <c r="BO20" s="29">
        <f t="shared" si="2"/>
        <v>533045</v>
      </c>
    </row>
    <row r="21" spans="1:67">
      <c r="A21" s="21" t="s">
        <v>10</v>
      </c>
      <c r="B21" s="22">
        <v>24</v>
      </c>
      <c r="C21" s="22">
        <v>648504</v>
      </c>
      <c r="D21" s="22">
        <v>642687</v>
      </c>
      <c r="E21" s="22">
        <v>644535</v>
      </c>
      <c r="F21" s="22">
        <v>648936</v>
      </c>
      <c r="G21" s="22">
        <v>649841</v>
      </c>
      <c r="H21" s="22">
        <v>640081</v>
      </c>
      <c r="I21" s="22">
        <v>642578</v>
      </c>
      <c r="J21" s="22">
        <v>643666</v>
      </c>
      <c r="K21" s="22">
        <v>645082</v>
      </c>
      <c r="L21" s="22">
        <v>645973</v>
      </c>
      <c r="M21" s="22">
        <v>650894</v>
      </c>
      <c r="N21" s="22">
        <v>642873</v>
      </c>
      <c r="O21" s="22">
        <v>641109</v>
      </c>
      <c r="P21" s="22">
        <v>645010</v>
      </c>
      <c r="Q21" s="22">
        <v>650435</v>
      </c>
      <c r="R21" s="22">
        <v>642664</v>
      </c>
      <c r="S21" s="22">
        <v>644941</v>
      </c>
      <c r="T21" s="22">
        <v>705632</v>
      </c>
      <c r="U21" s="22">
        <v>652567</v>
      </c>
      <c r="V21" s="22">
        <v>640315</v>
      </c>
      <c r="W21" s="16">
        <f t="shared" si="0"/>
        <v>644975.5</v>
      </c>
      <c r="X21" s="22"/>
      <c r="Y21" s="22">
        <v>612026</v>
      </c>
      <c r="Z21" s="22">
        <v>637020</v>
      </c>
      <c r="AA21" s="22">
        <v>635738</v>
      </c>
      <c r="AB21" s="22">
        <v>634945</v>
      </c>
      <c r="AC21" s="22">
        <v>632702</v>
      </c>
      <c r="AD21" s="22">
        <v>630530</v>
      </c>
      <c r="AE21" s="22">
        <v>626333</v>
      </c>
      <c r="AF21" s="22">
        <v>658510</v>
      </c>
      <c r="AG21" s="22">
        <v>624757</v>
      </c>
      <c r="AH21" s="22">
        <v>625285</v>
      </c>
      <c r="AI21" s="22">
        <v>623099</v>
      </c>
      <c r="AJ21" s="22">
        <v>955737</v>
      </c>
      <c r="AK21" s="22">
        <v>643105</v>
      </c>
      <c r="AL21" s="22">
        <v>633371</v>
      </c>
      <c r="AM21" s="22">
        <v>629041</v>
      </c>
      <c r="AN21" s="22">
        <v>632241</v>
      </c>
      <c r="AO21" s="22">
        <v>629479</v>
      </c>
      <c r="AP21" s="22">
        <v>620051</v>
      </c>
      <c r="AQ21" s="22">
        <v>633120</v>
      </c>
      <c r="AR21" s="22">
        <v>621879</v>
      </c>
      <c r="AS21" s="16">
        <f t="shared" si="1"/>
        <v>631385.5</v>
      </c>
      <c r="AT21" s="22"/>
      <c r="AU21" s="22">
        <v>624393</v>
      </c>
      <c r="AV21" s="22">
        <v>646643</v>
      </c>
      <c r="AW21" s="22">
        <v>641565</v>
      </c>
      <c r="AX21" s="22">
        <v>630428</v>
      </c>
      <c r="AY21" s="22">
        <v>621510</v>
      </c>
      <c r="AZ21" s="22">
        <v>638673</v>
      </c>
      <c r="BA21" s="22">
        <v>644006</v>
      </c>
      <c r="BB21" s="22">
        <v>637898</v>
      </c>
      <c r="BC21" s="22">
        <v>646934</v>
      </c>
      <c r="BD21" s="22">
        <v>655572</v>
      </c>
      <c r="BE21" s="22">
        <v>663616</v>
      </c>
      <c r="BF21" s="22">
        <v>695763</v>
      </c>
      <c r="BG21" s="22">
        <v>656589</v>
      </c>
      <c r="BH21" s="22">
        <v>661943</v>
      </c>
      <c r="BI21" s="22">
        <v>638746</v>
      </c>
      <c r="BJ21" s="22">
        <v>658503</v>
      </c>
      <c r="BK21" s="22">
        <v>668667</v>
      </c>
      <c r="BL21" s="22">
        <v>646686</v>
      </c>
      <c r="BM21" s="22">
        <v>660256</v>
      </c>
      <c r="BN21" s="22">
        <v>648935</v>
      </c>
      <c r="BO21" s="29">
        <f t="shared" si="2"/>
        <v>646810</v>
      </c>
    </row>
    <row r="22" spans="1:67">
      <c r="A22" s="21" t="s">
        <v>10</v>
      </c>
      <c r="B22" s="22">
        <v>28</v>
      </c>
      <c r="C22" s="22">
        <v>767016</v>
      </c>
      <c r="D22" s="22">
        <v>772091</v>
      </c>
      <c r="E22" s="22">
        <v>830791</v>
      </c>
      <c r="F22" s="22">
        <v>768128</v>
      </c>
      <c r="G22" s="22">
        <v>769838</v>
      </c>
      <c r="H22" s="22">
        <v>769869</v>
      </c>
      <c r="I22" s="22">
        <v>768887</v>
      </c>
      <c r="J22" s="22">
        <v>763844</v>
      </c>
      <c r="K22" s="22">
        <v>766761</v>
      </c>
      <c r="L22" s="22">
        <v>773430</v>
      </c>
      <c r="M22" s="22">
        <v>760530</v>
      </c>
      <c r="N22" s="22">
        <v>1263620</v>
      </c>
      <c r="O22" s="22">
        <v>778110</v>
      </c>
      <c r="P22" s="22">
        <v>762757</v>
      </c>
      <c r="Q22" s="22">
        <v>1270020</v>
      </c>
      <c r="R22" s="22">
        <v>773460</v>
      </c>
      <c r="S22" s="22">
        <v>766737</v>
      </c>
      <c r="T22" s="22">
        <v>768928</v>
      </c>
      <c r="U22" s="22">
        <v>774587</v>
      </c>
      <c r="V22" s="22">
        <v>770962</v>
      </c>
      <c r="W22" s="16">
        <f t="shared" si="0"/>
        <v>769853.5</v>
      </c>
      <c r="X22" s="22"/>
      <c r="Y22" s="22">
        <v>742899</v>
      </c>
      <c r="Z22" s="22">
        <v>738895</v>
      </c>
      <c r="AA22" s="22">
        <v>738158</v>
      </c>
      <c r="AB22" s="22">
        <v>724665</v>
      </c>
      <c r="AC22" s="22">
        <v>704690</v>
      </c>
      <c r="AD22" s="22">
        <v>1189610</v>
      </c>
      <c r="AE22" s="22">
        <v>724584</v>
      </c>
      <c r="AF22" s="22">
        <v>737685</v>
      </c>
      <c r="AG22" s="22">
        <v>723868</v>
      </c>
      <c r="AH22" s="22">
        <v>740486</v>
      </c>
      <c r="AI22" s="22">
        <v>752698</v>
      </c>
      <c r="AJ22" s="22">
        <v>735212</v>
      </c>
      <c r="AK22" s="22">
        <v>723529</v>
      </c>
      <c r="AL22" s="22">
        <v>739886</v>
      </c>
      <c r="AM22" s="22">
        <v>746227</v>
      </c>
      <c r="AN22" s="22">
        <v>745780</v>
      </c>
      <c r="AO22" s="22">
        <v>742450</v>
      </c>
      <c r="AP22" s="22">
        <v>743401</v>
      </c>
      <c r="AQ22" s="22">
        <v>800420</v>
      </c>
      <c r="AR22" s="22">
        <v>746798</v>
      </c>
      <c r="AS22" s="16">
        <f t="shared" si="1"/>
        <v>740186</v>
      </c>
      <c r="AT22" s="22"/>
      <c r="AU22" s="22">
        <v>746390</v>
      </c>
      <c r="AV22" s="22">
        <v>748427</v>
      </c>
      <c r="AW22" s="22">
        <v>746878</v>
      </c>
      <c r="AX22" s="22">
        <v>742274</v>
      </c>
      <c r="AY22" s="22">
        <v>754748</v>
      </c>
      <c r="AZ22" s="22">
        <v>751164</v>
      </c>
      <c r="BA22" s="22">
        <v>760531</v>
      </c>
      <c r="BB22" s="22">
        <v>747221</v>
      </c>
      <c r="BC22" s="22">
        <v>753772</v>
      </c>
      <c r="BD22" s="22">
        <v>755936</v>
      </c>
      <c r="BE22" s="22">
        <v>738696</v>
      </c>
      <c r="BF22" s="22">
        <v>748549</v>
      </c>
      <c r="BG22" s="22">
        <v>746735</v>
      </c>
      <c r="BH22" s="22">
        <v>750687</v>
      </c>
      <c r="BI22" s="22">
        <v>749108</v>
      </c>
      <c r="BJ22" s="22">
        <v>1171750</v>
      </c>
      <c r="BK22" s="22">
        <v>757217</v>
      </c>
      <c r="BL22" s="22">
        <v>1018890</v>
      </c>
      <c r="BM22" s="22">
        <v>755489</v>
      </c>
      <c r="BN22" s="22">
        <v>764558</v>
      </c>
      <c r="BO22" s="29">
        <f t="shared" si="2"/>
        <v>750925.5</v>
      </c>
    </row>
    <row r="23" spans="1:67" ht="15.75" thickBot="1">
      <c r="A23" s="31" t="s">
        <v>10</v>
      </c>
      <c r="B23" s="32">
        <v>32</v>
      </c>
      <c r="C23" s="32">
        <v>886910</v>
      </c>
      <c r="D23" s="32">
        <v>880520</v>
      </c>
      <c r="E23" s="32">
        <v>881792</v>
      </c>
      <c r="F23" s="32">
        <v>898060</v>
      </c>
      <c r="G23" s="32">
        <v>890502</v>
      </c>
      <c r="H23" s="32">
        <v>892410</v>
      </c>
      <c r="I23" s="32">
        <v>880490</v>
      </c>
      <c r="J23" s="32">
        <v>892861</v>
      </c>
      <c r="K23" s="32">
        <v>978095</v>
      </c>
      <c r="L23" s="32">
        <v>891360</v>
      </c>
      <c r="M23" s="32">
        <v>893693</v>
      </c>
      <c r="N23" s="32">
        <v>1375730</v>
      </c>
      <c r="O23" s="32">
        <v>886424</v>
      </c>
      <c r="P23" s="32">
        <v>895560</v>
      </c>
      <c r="Q23" s="32">
        <v>890136</v>
      </c>
      <c r="R23" s="32">
        <v>886398</v>
      </c>
      <c r="S23" s="32">
        <v>896322</v>
      </c>
      <c r="T23" s="32">
        <v>894949</v>
      </c>
      <c r="U23" s="32">
        <v>885985</v>
      </c>
      <c r="V23" s="32">
        <v>883436</v>
      </c>
      <c r="W23" s="18">
        <f t="shared" si="0"/>
        <v>890931</v>
      </c>
      <c r="X23" s="32"/>
      <c r="Y23" s="32">
        <v>855925</v>
      </c>
      <c r="Z23" s="32">
        <v>1293700</v>
      </c>
      <c r="AA23" s="32">
        <v>823841</v>
      </c>
      <c r="AB23" s="32">
        <v>850532</v>
      </c>
      <c r="AC23" s="32">
        <v>832639</v>
      </c>
      <c r="AD23" s="32">
        <v>821710</v>
      </c>
      <c r="AE23" s="32">
        <v>811168</v>
      </c>
      <c r="AF23" s="32">
        <v>836091</v>
      </c>
      <c r="AG23" s="32">
        <v>839496</v>
      </c>
      <c r="AH23" s="32">
        <v>841226</v>
      </c>
      <c r="AI23" s="32">
        <v>1270170</v>
      </c>
      <c r="AJ23" s="32">
        <v>850714</v>
      </c>
      <c r="AK23" s="32">
        <v>829336</v>
      </c>
      <c r="AL23" s="32">
        <v>849392</v>
      </c>
      <c r="AM23" s="32">
        <v>838523</v>
      </c>
      <c r="AN23" s="32">
        <v>838438</v>
      </c>
      <c r="AO23" s="32">
        <v>820326</v>
      </c>
      <c r="AP23" s="32">
        <v>843240</v>
      </c>
      <c r="AQ23" s="32">
        <v>837654</v>
      </c>
      <c r="AR23" s="32">
        <v>831052</v>
      </c>
      <c r="AS23" s="18">
        <f t="shared" si="1"/>
        <v>838480.5</v>
      </c>
      <c r="AT23" s="32"/>
      <c r="AU23" s="32">
        <v>915413</v>
      </c>
      <c r="AV23" s="32">
        <v>850429</v>
      </c>
      <c r="AW23" s="32">
        <v>855766</v>
      </c>
      <c r="AX23" s="32">
        <v>855971</v>
      </c>
      <c r="AY23" s="32">
        <v>858005</v>
      </c>
      <c r="AZ23" s="32">
        <v>842379</v>
      </c>
      <c r="BA23" s="32">
        <v>854379</v>
      </c>
      <c r="BB23" s="32">
        <v>1327730</v>
      </c>
      <c r="BC23" s="32">
        <v>857827</v>
      </c>
      <c r="BD23" s="32">
        <v>842938</v>
      </c>
      <c r="BE23" s="32">
        <v>1143930</v>
      </c>
      <c r="BF23" s="32">
        <v>852688</v>
      </c>
      <c r="BG23" s="32">
        <v>860247</v>
      </c>
      <c r="BH23" s="32">
        <v>1268920</v>
      </c>
      <c r="BI23" s="32">
        <v>854062</v>
      </c>
      <c r="BJ23" s="32">
        <v>868815</v>
      </c>
      <c r="BK23" s="32">
        <v>852605</v>
      </c>
      <c r="BL23" s="32">
        <v>858902</v>
      </c>
      <c r="BM23" s="32">
        <v>854106</v>
      </c>
      <c r="BN23" s="32">
        <v>850867</v>
      </c>
      <c r="BO23" s="34">
        <f t="shared" si="2"/>
        <v>855868.5</v>
      </c>
    </row>
    <row r="28" spans="1:67" ht="15.75" thickBot="1">
      <c r="A28" s="36" t="s">
        <v>9</v>
      </c>
    </row>
    <row r="29" spans="1:67">
      <c r="A29" s="25" t="s">
        <v>10</v>
      </c>
      <c r="B29" s="26">
        <v>4</v>
      </c>
      <c r="C29" s="26">
        <v>80664.899999999994</v>
      </c>
      <c r="D29" s="26">
        <v>74382.2</v>
      </c>
      <c r="E29" s="26">
        <v>74566.8</v>
      </c>
      <c r="F29" s="26">
        <v>71709.600000000006</v>
      </c>
      <c r="G29" s="26">
        <v>70775.600000000006</v>
      </c>
      <c r="H29" s="26">
        <v>74005.2</v>
      </c>
      <c r="I29" s="26">
        <v>75514.100000000006</v>
      </c>
      <c r="J29" s="26">
        <v>71735.5</v>
      </c>
      <c r="K29" s="26">
        <v>71297.8</v>
      </c>
      <c r="L29" s="26">
        <v>72978.7</v>
      </c>
      <c r="M29" s="26">
        <v>75308.399999999994</v>
      </c>
      <c r="N29" s="26">
        <v>71830.2</v>
      </c>
      <c r="O29" s="26">
        <v>73078.2</v>
      </c>
      <c r="P29" s="26">
        <v>72001.5</v>
      </c>
      <c r="Q29" s="26">
        <v>73869.3</v>
      </c>
      <c r="R29" s="26">
        <v>74657.7</v>
      </c>
      <c r="S29" s="26">
        <v>74160.3</v>
      </c>
      <c r="T29" s="26">
        <v>72270.5</v>
      </c>
      <c r="U29" s="26">
        <v>74453.899999999994</v>
      </c>
      <c r="V29" s="26">
        <v>75925.8</v>
      </c>
      <c r="W29" s="27">
        <f t="shared" si="0"/>
        <v>73937.25</v>
      </c>
      <c r="X29" s="26"/>
      <c r="Y29" s="26">
        <v>193657</v>
      </c>
      <c r="Z29" s="26">
        <v>187473</v>
      </c>
      <c r="AA29" s="26">
        <v>202749</v>
      </c>
      <c r="AB29" s="26">
        <v>162577</v>
      </c>
      <c r="AC29" s="26">
        <v>182591</v>
      </c>
      <c r="AD29" s="26">
        <v>183546</v>
      </c>
      <c r="AE29" s="26">
        <v>196358</v>
      </c>
      <c r="AF29" s="26">
        <v>194063</v>
      </c>
      <c r="AG29" s="26">
        <v>199169</v>
      </c>
      <c r="AH29" s="26">
        <v>188822</v>
      </c>
      <c r="AI29" s="26">
        <v>184269</v>
      </c>
      <c r="AJ29" s="26">
        <v>168676</v>
      </c>
      <c r="AK29" s="26">
        <v>170714</v>
      </c>
      <c r="AL29" s="26">
        <v>172520</v>
      </c>
      <c r="AM29" s="26">
        <v>187724</v>
      </c>
      <c r="AN29" s="26">
        <v>184387</v>
      </c>
      <c r="AO29" s="26">
        <v>193460</v>
      </c>
      <c r="AP29" s="26">
        <v>198240</v>
      </c>
      <c r="AQ29" s="26">
        <v>195689</v>
      </c>
      <c r="AR29" s="26">
        <v>191304</v>
      </c>
      <c r="AS29" s="27">
        <f t="shared" si="1"/>
        <v>188273</v>
      </c>
      <c r="AT29" s="26"/>
      <c r="AU29" s="26">
        <v>201225</v>
      </c>
      <c r="AV29" s="26">
        <v>211901</v>
      </c>
      <c r="AW29" s="26">
        <v>196299</v>
      </c>
      <c r="AX29" s="26">
        <v>198905</v>
      </c>
      <c r="AY29" s="26">
        <v>195133</v>
      </c>
      <c r="AZ29" s="26">
        <v>177874</v>
      </c>
      <c r="BA29" s="26">
        <v>193585</v>
      </c>
      <c r="BB29" s="26">
        <v>207576</v>
      </c>
      <c r="BC29" s="26">
        <v>196697</v>
      </c>
      <c r="BD29" s="26">
        <v>196288</v>
      </c>
      <c r="BE29" s="26">
        <v>206237</v>
      </c>
      <c r="BF29" s="26">
        <v>177806</v>
      </c>
      <c r="BG29" s="26">
        <v>184686</v>
      </c>
      <c r="BH29" s="26">
        <v>203293</v>
      </c>
      <c r="BI29" s="26">
        <v>177251</v>
      </c>
      <c r="BJ29" s="26">
        <v>193977</v>
      </c>
      <c r="BK29" s="26">
        <v>179786</v>
      </c>
      <c r="BL29" s="26">
        <v>199060</v>
      </c>
      <c r="BM29" s="26">
        <v>180858</v>
      </c>
      <c r="BN29" s="26">
        <v>179873</v>
      </c>
      <c r="BO29" s="28">
        <f t="shared" si="2"/>
        <v>195710.5</v>
      </c>
    </row>
    <row r="30" spans="1:67">
      <c r="A30" s="21" t="s">
        <v>10</v>
      </c>
      <c r="B30" s="22">
        <v>8</v>
      </c>
      <c r="C30" s="22">
        <v>196423</v>
      </c>
      <c r="D30" s="22">
        <v>197188</v>
      </c>
      <c r="E30" s="22">
        <v>197076</v>
      </c>
      <c r="F30" s="22">
        <v>201852</v>
      </c>
      <c r="G30" s="22">
        <v>198825</v>
      </c>
      <c r="H30" s="22">
        <v>199401</v>
      </c>
      <c r="I30" s="22">
        <v>197426</v>
      </c>
      <c r="J30" s="22">
        <v>196061</v>
      </c>
      <c r="K30" s="22">
        <v>195650</v>
      </c>
      <c r="L30" s="22">
        <v>203916</v>
      </c>
      <c r="M30" s="22">
        <v>194015</v>
      </c>
      <c r="N30" s="22">
        <v>194604</v>
      </c>
      <c r="O30" s="22">
        <v>192688</v>
      </c>
      <c r="P30" s="22">
        <v>193422</v>
      </c>
      <c r="Q30" s="22">
        <v>194583</v>
      </c>
      <c r="R30" s="22">
        <v>196204</v>
      </c>
      <c r="S30" s="22">
        <v>195500</v>
      </c>
      <c r="T30" s="22">
        <v>196881</v>
      </c>
      <c r="U30" s="22">
        <v>194363</v>
      </c>
      <c r="V30" s="22">
        <v>193148</v>
      </c>
      <c r="W30" s="16">
        <f t="shared" si="0"/>
        <v>196132.5</v>
      </c>
      <c r="X30" s="22"/>
      <c r="Y30" s="22">
        <v>398175</v>
      </c>
      <c r="Z30" s="22">
        <v>407633</v>
      </c>
      <c r="AA30" s="22">
        <v>409717</v>
      </c>
      <c r="AB30" s="22">
        <v>413484</v>
      </c>
      <c r="AC30" s="22">
        <v>384625</v>
      </c>
      <c r="AD30" s="22">
        <v>403191</v>
      </c>
      <c r="AE30" s="22">
        <v>395694</v>
      </c>
      <c r="AF30" s="22">
        <v>397663</v>
      </c>
      <c r="AG30" s="22">
        <v>392196</v>
      </c>
      <c r="AH30" s="22">
        <v>410944</v>
      </c>
      <c r="AI30" s="22">
        <v>416989</v>
      </c>
      <c r="AJ30" s="22">
        <v>411429</v>
      </c>
      <c r="AK30" s="22">
        <v>412516</v>
      </c>
      <c r="AL30" s="22">
        <v>411871</v>
      </c>
      <c r="AM30" s="22">
        <v>411523</v>
      </c>
      <c r="AN30" s="22">
        <v>410622</v>
      </c>
      <c r="AO30" s="22">
        <v>409279</v>
      </c>
      <c r="AP30" s="22">
        <v>390001</v>
      </c>
      <c r="AQ30" s="22">
        <v>408941</v>
      </c>
      <c r="AR30" s="22">
        <v>413136</v>
      </c>
      <c r="AS30" s="16">
        <f t="shared" si="1"/>
        <v>409498</v>
      </c>
      <c r="AT30" s="22"/>
      <c r="AU30" s="22">
        <v>738762</v>
      </c>
      <c r="AV30" s="22">
        <v>417895</v>
      </c>
      <c r="AW30" s="22">
        <v>411803</v>
      </c>
      <c r="AX30" s="22">
        <v>416483</v>
      </c>
      <c r="AY30" s="22">
        <v>391670</v>
      </c>
      <c r="AZ30" s="22">
        <v>403796</v>
      </c>
      <c r="BA30" s="22">
        <v>394091</v>
      </c>
      <c r="BB30" s="22">
        <v>409111</v>
      </c>
      <c r="BC30" s="22">
        <v>392104</v>
      </c>
      <c r="BD30" s="22">
        <v>418260</v>
      </c>
      <c r="BE30" s="22">
        <v>426530</v>
      </c>
      <c r="BF30" s="22">
        <v>423366</v>
      </c>
      <c r="BG30" s="22">
        <v>430613</v>
      </c>
      <c r="BH30" s="22">
        <v>404155</v>
      </c>
      <c r="BI30" s="22">
        <v>401762</v>
      </c>
      <c r="BJ30" s="22">
        <v>424180</v>
      </c>
      <c r="BK30" s="22">
        <v>447266</v>
      </c>
      <c r="BL30" s="22">
        <v>405863</v>
      </c>
      <c r="BM30" s="22">
        <v>396092</v>
      </c>
      <c r="BN30" s="22">
        <v>400542</v>
      </c>
      <c r="BO30" s="29">
        <f t="shared" si="2"/>
        <v>410457</v>
      </c>
    </row>
    <row r="31" spans="1:67">
      <c r="A31" s="21" t="s">
        <v>10</v>
      </c>
      <c r="B31" s="22">
        <v>12</v>
      </c>
      <c r="C31" s="22">
        <v>320793</v>
      </c>
      <c r="D31" s="22">
        <v>314900</v>
      </c>
      <c r="E31" s="22">
        <v>318505</v>
      </c>
      <c r="F31" s="22">
        <v>313336</v>
      </c>
      <c r="G31" s="22">
        <v>332522</v>
      </c>
      <c r="H31" s="22">
        <v>333379</v>
      </c>
      <c r="I31" s="22">
        <v>312307</v>
      </c>
      <c r="J31" s="22">
        <v>313377</v>
      </c>
      <c r="K31" s="22">
        <v>314058</v>
      </c>
      <c r="L31" s="22">
        <v>315013</v>
      </c>
      <c r="M31" s="22">
        <v>311526</v>
      </c>
      <c r="N31" s="22">
        <v>312871</v>
      </c>
      <c r="O31" s="22">
        <v>318554</v>
      </c>
      <c r="P31" s="22">
        <v>321888</v>
      </c>
      <c r="Q31" s="22">
        <v>311711</v>
      </c>
      <c r="R31" s="22">
        <v>310882</v>
      </c>
      <c r="S31" s="22">
        <v>309750</v>
      </c>
      <c r="T31" s="22">
        <v>317550</v>
      </c>
      <c r="U31" s="22">
        <v>323113</v>
      </c>
      <c r="V31" s="22">
        <v>327212</v>
      </c>
      <c r="W31" s="16">
        <f t="shared" si="0"/>
        <v>314956.5</v>
      </c>
      <c r="X31" s="22"/>
      <c r="Y31" s="22">
        <v>601195</v>
      </c>
      <c r="Z31" s="22">
        <v>627608</v>
      </c>
      <c r="AA31" s="22">
        <v>601815</v>
      </c>
      <c r="AB31" s="22">
        <v>590306</v>
      </c>
      <c r="AC31" s="22">
        <v>607181</v>
      </c>
      <c r="AD31" s="22">
        <v>612022</v>
      </c>
      <c r="AE31" s="22">
        <v>601237</v>
      </c>
      <c r="AF31" s="22">
        <v>595999</v>
      </c>
      <c r="AG31" s="22">
        <v>631094</v>
      </c>
      <c r="AH31" s="22">
        <v>591407</v>
      </c>
      <c r="AI31" s="22">
        <v>580522</v>
      </c>
      <c r="AJ31" s="22">
        <v>616879</v>
      </c>
      <c r="AK31" s="22">
        <v>625334</v>
      </c>
      <c r="AL31" s="22">
        <v>616238</v>
      </c>
      <c r="AM31" s="22">
        <v>607896</v>
      </c>
      <c r="AN31" s="22">
        <v>583685</v>
      </c>
      <c r="AO31" s="22">
        <v>605896</v>
      </c>
      <c r="AP31" s="22">
        <v>587521</v>
      </c>
      <c r="AQ31" s="22">
        <v>600232</v>
      </c>
      <c r="AR31" s="22">
        <v>606222</v>
      </c>
      <c r="AS31" s="16">
        <f t="shared" si="1"/>
        <v>603855.5</v>
      </c>
      <c r="AT31" s="22"/>
      <c r="AU31" s="22">
        <v>641685</v>
      </c>
      <c r="AV31" s="22">
        <v>657730</v>
      </c>
      <c r="AW31" s="22">
        <v>620202</v>
      </c>
      <c r="AX31" s="22">
        <v>623393</v>
      </c>
      <c r="AY31" s="22">
        <v>642457</v>
      </c>
      <c r="AZ31" s="22">
        <v>624378</v>
      </c>
      <c r="BA31" s="22">
        <v>647968</v>
      </c>
      <c r="BB31" s="22">
        <v>649210</v>
      </c>
      <c r="BC31" s="22">
        <v>609769</v>
      </c>
      <c r="BD31" s="22">
        <v>634888</v>
      </c>
      <c r="BE31" s="22">
        <v>598933</v>
      </c>
      <c r="BF31" s="22">
        <v>612438</v>
      </c>
      <c r="BG31" s="22">
        <v>624519</v>
      </c>
      <c r="BH31" s="22">
        <v>631337</v>
      </c>
      <c r="BI31" s="22">
        <v>618337</v>
      </c>
      <c r="BJ31" s="22">
        <v>634667</v>
      </c>
      <c r="BK31" s="22">
        <v>629986</v>
      </c>
      <c r="BL31" s="22">
        <v>611332</v>
      </c>
      <c r="BM31" s="22">
        <v>615672</v>
      </c>
      <c r="BN31" s="22">
        <v>637665</v>
      </c>
      <c r="BO31" s="29">
        <f t="shared" si="2"/>
        <v>627252.5</v>
      </c>
    </row>
    <row r="32" spans="1:67">
      <c r="A32" s="21" t="s">
        <v>10</v>
      </c>
      <c r="B32" s="22">
        <v>16</v>
      </c>
      <c r="C32" s="22">
        <v>426933</v>
      </c>
      <c r="D32" s="22">
        <v>481685</v>
      </c>
      <c r="E32" s="22">
        <v>445204</v>
      </c>
      <c r="F32" s="22">
        <v>431151</v>
      </c>
      <c r="G32" s="22">
        <v>428892</v>
      </c>
      <c r="H32" s="22">
        <v>447665</v>
      </c>
      <c r="I32" s="22">
        <v>505930</v>
      </c>
      <c r="J32" s="22">
        <v>489700</v>
      </c>
      <c r="K32" s="22">
        <v>472264</v>
      </c>
      <c r="L32" s="22">
        <v>432704</v>
      </c>
      <c r="M32" s="22">
        <v>430134</v>
      </c>
      <c r="N32" s="22">
        <v>439474</v>
      </c>
      <c r="O32" s="22">
        <v>432454</v>
      </c>
      <c r="P32" s="22">
        <v>434181</v>
      </c>
      <c r="Q32" s="22">
        <v>435498</v>
      </c>
      <c r="R32" s="22">
        <v>436649</v>
      </c>
      <c r="S32" s="22">
        <v>445291</v>
      </c>
      <c r="T32" s="22">
        <v>437795</v>
      </c>
      <c r="U32" s="22">
        <v>434813</v>
      </c>
      <c r="V32" s="22">
        <v>433723</v>
      </c>
      <c r="W32" s="16">
        <f t="shared" si="0"/>
        <v>436073.5</v>
      </c>
      <c r="X32" s="22"/>
      <c r="Y32" s="22">
        <v>784126</v>
      </c>
      <c r="Z32" s="22">
        <v>783032</v>
      </c>
      <c r="AA32" s="22">
        <v>805963</v>
      </c>
      <c r="AB32" s="22">
        <v>837014</v>
      </c>
      <c r="AC32" s="22">
        <v>780401</v>
      </c>
      <c r="AD32" s="22">
        <v>823301</v>
      </c>
      <c r="AE32" s="22">
        <v>821092</v>
      </c>
      <c r="AF32" s="22">
        <v>796154</v>
      </c>
      <c r="AG32" s="22">
        <v>808466</v>
      </c>
      <c r="AH32" s="22">
        <v>807559</v>
      </c>
      <c r="AI32" s="22">
        <v>778351</v>
      </c>
      <c r="AJ32" s="22">
        <v>799297</v>
      </c>
      <c r="AK32" s="22">
        <v>837436</v>
      </c>
      <c r="AL32" s="22">
        <v>798312</v>
      </c>
      <c r="AM32" s="22">
        <v>807778</v>
      </c>
      <c r="AN32" s="22">
        <v>804931</v>
      </c>
      <c r="AO32" s="22">
        <v>839965</v>
      </c>
      <c r="AP32" s="22">
        <v>787619</v>
      </c>
      <c r="AQ32" s="22">
        <v>806183</v>
      </c>
      <c r="AR32" s="22">
        <v>808377</v>
      </c>
      <c r="AS32" s="16">
        <f t="shared" si="1"/>
        <v>806073</v>
      </c>
      <c r="AT32" s="22"/>
      <c r="AU32" s="22">
        <v>778827</v>
      </c>
      <c r="AV32" s="22">
        <v>791622</v>
      </c>
      <c r="AW32" s="22">
        <v>808949</v>
      </c>
      <c r="AX32" s="22">
        <v>1220750</v>
      </c>
      <c r="AY32" s="22">
        <v>844911</v>
      </c>
      <c r="AZ32" s="22">
        <v>860729</v>
      </c>
      <c r="BA32" s="22">
        <v>836994</v>
      </c>
      <c r="BB32" s="22">
        <v>807357</v>
      </c>
      <c r="BC32" s="22">
        <v>826852</v>
      </c>
      <c r="BD32" s="22">
        <v>839284</v>
      </c>
      <c r="BE32" s="22">
        <v>800062</v>
      </c>
      <c r="BF32" s="22">
        <v>841813</v>
      </c>
      <c r="BG32" s="22">
        <v>775835</v>
      </c>
      <c r="BH32" s="22">
        <v>806907</v>
      </c>
      <c r="BI32" s="22">
        <v>824372</v>
      </c>
      <c r="BJ32" s="22">
        <v>829701</v>
      </c>
      <c r="BK32" s="22">
        <v>812719</v>
      </c>
      <c r="BL32" s="22">
        <v>810500</v>
      </c>
      <c r="BM32" s="22">
        <v>819143</v>
      </c>
      <c r="BN32" s="22">
        <v>853652</v>
      </c>
      <c r="BO32" s="29">
        <f t="shared" si="2"/>
        <v>821757.5</v>
      </c>
    </row>
    <row r="33" spans="1:67">
      <c r="A33" s="21" t="s">
        <v>10</v>
      </c>
      <c r="B33" s="22">
        <v>20</v>
      </c>
      <c r="C33" s="22">
        <v>562626</v>
      </c>
      <c r="D33" s="22">
        <v>644376</v>
      </c>
      <c r="E33" s="22">
        <v>551423</v>
      </c>
      <c r="F33" s="22">
        <v>545551</v>
      </c>
      <c r="G33" s="22">
        <v>552145</v>
      </c>
      <c r="H33" s="22">
        <v>542419</v>
      </c>
      <c r="I33" s="22">
        <v>874551</v>
      </c>
      <c r="J33" s="22">
        <v>553261</v>
      </c>
      <c r="K33" s="22">
        <v>550333</v>
      </c>
      <c r="L33" s="22">
        <v>547293</v>
      </c>
      <c r="M33" s="22">
        <v>629154</v>
      </c>
      <c r="N33" s="22">
        <v>555805</v>
      </c>
      <c r="O33" s="22">
        <v>554410</v>
      </c>
      <c r="P33" s="22">
        <v>547091</v>
      </c>
      <c r="Q33" s="22">
        <v>550326</v>
      </c>
      <c r="R33" s="22">
        <v>550520</v>
      </c>
      <c r="S33" s="22">
        <v>543195</v>
      </c>
      <c r="T33" s="22">
        <v>548311</v>
      </c>
      <c r="U33" s="22">
        <v>547139</v>
      </c>
      <c r="V33" s="22">
        <v>550956</v>
      </c>
      <c r="W33" s="16">
        <f t="shared" si="0"/>
        <v>550738</v>
      </c>
      <c r="X33" s="22"/>
      <c r="Y33" s="22">
        <v>987176</v>
      </c>
      <c r="Z33" s="22">
        <v>1015140</v>
      </c>
      <c r="AA33" s="22">
        <v>988388</v>
      </c>
      <c r="AB33" s="22">
        <v>1009730</v>
      </c>
      <c r="AC33" s="22">
        <v>1029430</v>
      </c>
      <c r="AD33" s="22">
        <v>985732</v>
      </c>
      <c r="AE33" s="22">
        <v>977022</v>
      </c>
      <c r="AF33" s="22">
        <v>1016770</v>
      </c>
      <c r="AG33" s="22">
        <v>1031080</v>
      </c>
      <c r="AH33" s="22">
        <v>1011900</v>
      </c>
      <c r="AI33" s="22">
        <v>1010220</v>
      </c>
      <c r="AJ33" s="22">
        <v>994731</v>
      </c>
      <c r="AK33" s="22">
        <v>1008020</v>
      </c>
      <c r="AL33" s="22">
        <v>1027940</v>
      </c>
      <c r="AM33" s="22">
        <v>1008680</v>
      </c>
      <c r="AN33" s="22">
        <v>1497960</v>
      </c>
      <c r="AO33" s="22">
        <v>997493</v>
      </c>
      <c r="AP33" s="22">
        <v>988081</v>
      </c>
      <c r="AQ33" s="22">
        <v>971773</v>
      </c>
      <c r="AR33" s="22">
        <v>1000710</v>
      </c>
      <c r="AS33" s="16">
        <f t="shared" si="1"/>
        <v>1008350</v>
      </c>
      <c r="AT33" s="22"/>
      <c r="AU33" s="22">
        <v>1004360</v>
      </c>
      <c r="AV33" s="22">
        <v>999432</v>
      </c>
      <c r="AW33" s="22">
        <v>1004810</v>
      </c>
      <c r="AX33" s="22">
        <v>1058320</v>
      </c>
      <c r="AY33" s="22">
        <v>1016000</v>
      </c>
      <c r="AZ33" s="22">
        <v>1022380</v>
      </c>
      <c r="BA33" s="22">
        <v>1025010</v>
      </c>
      <c r="BB33" s="22">
        <v>1036740</v>
      </c>
      <c r="BC33" s="22">
        <v>989373</v>
      </c>
      <c r="BD33" s="22">
        <v>1544070</v>
      </c>
      <c r="BE33" s="22">
        <v>1308030</v>
      </c>
      <c r="BF33" s="22">
        <v>1026420</v>
      </c>
      <c r="BG33" s="22">
        <v>1011370</v>
      </c>
      <c r="BH33" s="22">
        <v>1021230</v>
      </c>
      <c r="BI33" s="22">
        <v>1050660</v>
      </c>
      <c r="BJ33" s="22">
        <v>1011710</v>
      </c>
      <c r="BK33" s="22">
        <v>1310390</v>
      </c>
      <c r="BL33" s="22">
        <v>1036220</v>
      </c>
      <c r="BM33" s="22">
        <v>1017510</v>
      </c>
      <c r="BN33" s="22">
        <v>1029650</v>
      </c>
      <c r="BO33" s="29">
        <f t="shared" si="2"/>
        <v>1023695</v>
      </c>
    </row>
    <row r="34" spans="1:67">
      <c r="A34" s="21" t="s">
        <v>10</v>
      </c>
      <c r="B34" s="22">
        <v>24</v>
      </c>
      <c r="C34" s="22">
        <v>679770</v>
      </c>
      <c r="D34" s="22">
        <v>671380</v>
      </c>
      <c r="E34" s="22">
        <v>666906</v>
      </c>
      <c r="F34" s="22">
        <v>677206</v>
      </c>
      <c r="G34" s="22">
        <v>662503</v>
      </c>
      <c r="H34" s="22">
        <v>666866</v>
      </c>
      <c r="I34" s="22">
        <v>668779</v>
      </c>
      <c r="J34" s="22">
        <v>679958</v>
      </c>
      <c r="K34" s="22">
        <v>671467</v>
      </c>
      <c r="L34" s="22">
        <v>672859</v>
      </c>
      <c r="M34" s="22">
        <v>684566</v>
      </c>
      <c r="N34" s="22">
        <v>670123</v>
      </c>
      <c r="O34" s="22">
        <v>673040</v>
      </c>
      <c r="P34" s="22">
        <v>672620</v>
      </c>
      <c r="Q34" s="22">
        <v>675715</v>
      </c>
      <c r="R34" s="22">
        <v>677063</v>
      </c>
      <c r="S34" s="22">
        <v>670527</v>
      </c>
      <c r="T34" s="22">
        <v>666584</v>
      </c>
      <c r="U34" s="22">
        <v>1016640</v>
      </c>
      <c r="V34" s="22">
        <v>674248</v>
      </c>
      <c r="W34" s="16">
        <f t="shared" si="0"/>
        <v>672739.5</v>
      </c>
      <c r="X34" s="22"/>
      <c r="Y34" s="22">
        <v>1618430</v>
      </c>
      <c r="Z34" s="22">
        <v>1225950</v>
      </c>
      <c r="AA34" s="22">
        <v>1189650</v>
      </c>
      <c r="AB34" s="22">
        <v>1198450</v>
      </c>
      <c r="AC34" s="22">
        <v>1193330</v>
      </c>
      <c r="AD34" s="22">
        <v>1199770</v>
      </c>
      <c r="AE34" s="22">
        <v>1211740</v>
      </c>
      <c r="AF34" s="22">
        <v>1227440</v>
      </c>
      <c r="AG34" s="22">
        <v>1686520</v>
      </c>
      <c r="AH34" s="22">
        <v>1214090</v>
      </c>
      <c r="AI34" s="22">
        <v>1187060</v>
      </c>
      <c r="AJ34" s="22">
        <v>1217900</v>
      </c>
      <c r="AK34" s="22">
        <v>1204870</v>
      </c>
      <c r="AL34" s="22">
        <v>1181640</v>
      </c>
      <c r="AM34" s="22">
        <v>1176070</v>
      </c>
      <c r="AN34" s="22">
        <v>1175550</v>
      </c>
      <c r="AO34" s="22">
        <v>1205700</v>
      </c>
      <c r="AP34" s="22">
        <v>1193620</v>
      </c>
      <c r="AQ34" s="22">
        <v>1189460</v>
      </c>
      <c r="AR34" s="22">
        <v>1240850</v>
      </c>
      <c r="AS34" s="16">
        <f t="shared" si="1"/>
        <v>1202320</v>
      </c>
      <c r="AT34" s="22"/>
      <c r="AU34" s="22">
        <v>1200320</v>
      </c>
      <c r="AV34" s="22">
        <v>1254040</v>
      </c>
      <c r="AW34" s="22">
        <v>1230960</v>
      </c>
      <c r="AX34" s="22">
        <v>1301320</v>
      </c>
      <c r="AY34" s="22">
        <v>1214550</v>
      </c>
      <c r="AZ34" s="22">
        <v>1208600</v>
      </c>
      <c r="BA34" s="22">
        <v>1217120</v>
      </c>
      <c r="BB34" s="22">
        <v>1223550</v>
      </c>
      <c r="BC34" s="22">
        <v>1203860</v>
      </c>
      <c r="BD34" s="22">
        <v>1201180</v>
      </c>
      <c r="BE34" s="22">
        <v>1211550</v>
      </c>
      <c r="BF34" s="22">
        <v>1745340</v>
      </c>
      <c r="BG34" s="22">
        <v>1180810</v>
      </c>
      <c r="BH34" s="22">
        <v>1248160</v>
      </c>
      <c r="BI34" s="22">
        <v>1189880</v>
      </c>
      <c r="BJ34" s="22">
        <v>1208450</v>
      </c>
      <c r="BK34" s="22">
        <v>1236450</v>
      </c>
      <c r="BL34" s="22">
        <v>1222090</v>
      </c>
      <c r="BM34" s="22">
        <v>1194680</v>
      </c>
      <c r="BN34" s="22">
        <v>1172420</v>
      </c>
      <c r="BO34" s="29">
        <f t="shared" si="2"/>
        <v>1213050</v>
      </c>
    </row>
    <row r="35" spans="1:67">
      <c r="A35" s="21" t="s">
        <v>10</v>
      </c>
      <c r="B35" s="22">
        <v>28</v>
      </c>
      <c r="C35" s="22">
        <v>787295</v>
      </c>
      <c r="D35" s="22">
        <v>801583</v>
      </c>
      <c r="E35" s="22">
        <v>783454</v>
      </c>
      <c r="F35" s="22">
        <v>792158</v>
      </c>
      <c r="G35" s="22">
        <v>804120</v>
      </c>
      <c r="H35" s="22">
        <v>783225</v>
      </c>
      <c r="I35" s="22">
        <v>915142</v>
      </c>
      <c r="J35" s="22">
        <v>1202330</v>
      </c>
      <c r="K35" s="22">
        <v>804510</v>
      </c>
      <c r="L35" s="22">
        <v>792877</v>
      </c>
      <c r="M35" s="22">
        <v>801726</v>
      </c>
      <c r="N35" s="22">
        <v>798818</v>
      </c>
      <c r="O35" s="22">
        <v>795708</v>
      </c>
      <c r="P35" s="22">
        <v>796985</v>
      </c>
      <c r="Q35" s="22">
        <v>786515</v>
      </c>
      <c r="R35" s="22">
        <v>788725</v>
      </c>
      <c r="S35" s="22">
        <v>805870</v>
      </c>
      <c r="T35" s="22">
        <v>795920</v>
      </c>
      <c r="U35" s="22">
        <v>792673</v>
      </c>
      <c r="V35" s="22">
        <v>784246</v>
      </c>
      <c r="W35" s="16">
        <f t="shared" si="0"/>
        <v>795814</v>
      </c>
      <c r="X35" s="22"/>
      <c r="Y35" s="22">
        <v>1379240</v>
      </c>
      <c r="Z35" s="22">
        <v>1424630</v>
      </c>
      <c r="AA35" s="22">
        <v>1391610</v>
      </c>
      <c r="AB35" s="22">
        <v>1381390</v>
      </c>
      <c r="AC35" s="22">
        <v>1360680</v>
      </c>
      <c r="AD35" s="22">
        <v>1459090</v>
      </c>
      <c r="AE35" s="22">
        <v>1414180</v>
      </c>
      <c r="AF35" s="22">
        <v>1381430</v>
      </c>
      <c r="AG35" s="22">
        <v>1462820</v>
      </c>
      <c r="AH35" s="22">
        <v>1848100</v>
      </c>
      <c r="AI35" s="22">
        <v>1387530</v>
      </c>
      <c r="AJ35" s="22">
        <v>1365960</v>
      </c>
      <c r="AK35" s="22">
        <v>1404120</v>
      </c>
      <c r="AL35" s="22">
        <v>1382370</v>
      </c>
      <c r="AM35" s="22">
        <v>1397910</v>
      </c>
      <c r="AN35" s="22">
        <v>1367740</v>
      </c>
      <c r="AO35" s="22">
        <v>1433750</v>
      </c>
      <c r="AP35" s="22">
        <v>1401260</v>
      </c>
      <c r="AQ35" s="22">
        <v>1382410</v>
      </c>
      <c r="AR35" s="22">
        <v>1368120</v>
      </c>
      <c r="AS35" s="16">
        <f t="shared" si="1"/>
        <v>1389570</v>
      </c>
      <c r="AT35" s="22"/>
      <c r="AU35" s="22">
        <v>1413470</v>
      </c>
      <c r="AV35" s="22">
        <v>1435000</v>
      </c>
      <c r="AW35" s="22">
        <v>1422160</v>
      </c>
      <c r="AX35" s="22">
        <v>1412540</v>
      </c>
      <c r="AY35" s="22">
        <v>1377820</v>
      </c>
      <c r="AZ35" s="22">
        <v>1403840</v>
      </c>
      <c r="BA35" s="22">
        <v>1415090</v>
      </c>
      <c r="BB35" s="22">
        <v>1461740</v>
      </c>
      <c r="BC35" s="22">
        <v>1410110</v>
      </c>
      <c r="BD35" s="22">
        <v>1438900</v>
      </c>
      <c r="BE35" s="22">
        <v>1357850</v>
      </c>
      <c r="BF35" s="22">
        <v>1398250</v>
      </c>
      <c r="BG35" s="22">
        <v>1336570</v>
      </c>
      <c r="BH35" s="22">
        <v>1459410</v>
      </c>
      <c r="BI35" s="22">
        <v>1458140</v>
      </c>
      <c r="BJ35" s="22">
        <v>1370550</v>
      </c>
      <c r="BK35" s="22">
        <v>1378300</v>
      </c>
      <c r="BL35" s="22">
        <v>1373010</v>
      </c>
      <c r="BM35" s="22">
        <v>1409300</v>
      </c>
      <c r="BN35" s="22">
        <v>1466330</v>
      </c>
      <c r="BO35" s="29">
        <f t="shared" si="2"/>
        <v>1411325</v>
      </c>
    </row>
    <row r="36" spans="1:67" ht="15.75" thickBot="1">
      <c r="A36" s="31" t="s">
        <v>10</v>
      </c>
      <c r="B36" s="32">
        <v>32</v>
      </c>
      <c r="C36" s="32">
        <v>917165</v>
      </c>
      <c r="D36" s="32">
        <v>926848</v>
      </c>
      <c r="E36" s="32">
        <v>981884</v>
      </c>
      <c r="F36" s="32">
        <v>911944</v>
      </c>
      <c r="G36" s="32">
        <v>913488</v>
      </c>
      <c r="H36" s="32">
        <v>914045</v>
      </c>
      <c r="I36" s="32">
        <v>927628</v>
      </c>
      <c r="J36" s="32">
        <v>1577910</v>
      </c>
      <c r="K36" s="32">
        <v>934130</v>
      </c>
      <c r="L36" s="32">
        <v>916234</v>
      </c>
      <c r="M36" s="32">
        <v>916420</v>
      </c>
      <c r="N36" s="32">
        <v>917469</v>
      </c>
      <c r="O36" s="32">
        <v>910320</v>
      </c>
      <c r="P36" s="32">
        <v>919618</v>
      </c>
      <c r="Q36" s="32">
        <v>1206040</v>
      </c>
      <c r="R36" s="32">
        <v>1074140</v>
      </c>
      <c r="S36" s="32">
        <v>915174</v>
      </c>
      <c r="T36" s="32">
        <v>910629</v>
      </c>
      <c r="U36" s="32">
        <v>912744</v>
      </c>
      <c r="V36" s="32">
        <v>928153</v>
      </c>
      <c r="W36" s="18">
        <f t="shared" si="0"/>
        <v>917317</v>
      </c>
      <c r="X36" s="32"/>
      <c r="Y36" s="32">
        <v>1941860</v>
      </c>
      <c r="Z36" s="32">
        <v>1521250</v>
      </c>
      <c r="AA36" s="32">
        <v>1572070</v>
      </c>
      <c r="AB36" s="32">
        <v>1573470</v>
      </c>
      <c r="AC36" s="32">
        <v>1603950</v>
      </c>
      <c r="AD36" s="32">
        <v>1621060</v>
      </c>
      <c r="AE36" s="32">
        <v>1541260</v>
      </c>
      <c r="AF36" s="32">
        <v>1575400</v>
      </c>
      <c r="AG36" s="32">
        <v>1594390</v>
      </c>
      <c r="AH36" s="32">
        <v>1545060</v>
      </c>
      <c r="AI36" s="32">
        <v>1573360</v>
      </c>
      <c r="AJ36" s="32">
        <v>1609700</v>
      </c>
      <c r="AK36" s="32">
        <v>1655810</v>
      </c>
      <c r="AL36" s="32">
        <v>1560620</v>
      </c>
      <c r="AM36" s="32">
        <v>1963440</v>
      </c>
      <c r="AN36" s="32">
        <v>1564470</v>
      </c>
      <c r="AO36" s="32">
        <v>2006160</v>
      </c>
      <c r="AP36" s="32">
        <v>1563760</v>
      </c>
      <c r="AQ36" s="32">
        <v>1613020</v>
      </c>
      <c r="AR36" s="32">
        <v>1556620</v>
      </c>
      <c r="AS36" s="18">
        <f t="shared" si="1"/>
        <v>1574435</v>
      </c>
      <c r="AT36" s="32"/>
      <c r="AU36" s="32">
        <v>1637960</v>
      </c>
      <c r="AV36" s="32">
        <v>1629970</v>
      </c>
      <c r="AW36" s="32">
        <v>1592970</v>
      </c>
      <c r="AX36" s="32">
        <v>1604260</v>
      </c>
      <c r="AY36" s="32">
        <v>2108290</v>
      </c>
      <c r="AZ36" s="32">
        <v>1612910</v>
      </c>
      <c r="BA36" s="32">
        <v>1577030</v>
      </c>
      <c r="BB36" s="32">
        <v>1626300</v>
      </c>
      <c r="BC36" s="32">
        <v>2056270</v>
      </c>
      <c r="BD36" s="32">
        <v>1598530</v>
      </c>
      <c r="BE36" s="32">
        <v>1625200</v>
      </c>
      <c r="BF36" s="32">
        <v>1570310</v>
      </c>
      <c r="BG36" s="32">
        <v>1596920</v>
      </c>
      <c r="BH36" s="32">
        <v>1607100</v>
      </c>
      <c r="BI36" s="32">
        <v>1605500</v>
      </c>
      <c r="BJ36" s="32">
        <v>1616980</v>
      </c>
      <c r="BK36" s="32">
        <v>1598980</v>
      </c>
      <c r="BL36" s="32">
        <v>1668150</v>
      </c>
      <c r="BM36" s="32">
        <v>1592150</v>
      </c>
      <c r="BN36" s="32">
        <v>1599590</v>
      </c>
      <c r="BO36" s="34">
        <f t="shared" si="2"/>
        <v>1606300</v>
      </c>
    </row>
    <row r="43" spans="1:67">
      <c r="X43" t="s">
        <v>19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699A-48C8-46B2-A065-985AE49DB0E6}">
  <dimension ref="A1:W54"/>
  <sheetViews>
    <sheetView topLeftCell="U7" workbookViewId="0">
      <selection activeCell="AI14" sqref="AI14"/>
    </sheetView>
  </sheetViews>
  <sheetFormatPr defaultRowHeight="15"/>
  <cols>
    <col min="1" max="1" width="39.28515625" bestFit="1" customWidth="1"/>
    <col min="2" max="2" width="9.28515625" customWidth="1"/>
    <col min="3" max="22" width="12.5703125" style="2" bestFit="1" customWidth="1"/>
    <col min="23" max="23" width="12.7109375" style="2" bestFit="1" customWidth="1"/>
  </cols>
  <sheetData>
    <row r="1" spans="1:23">
      <c r="W1" s="2" t="s">
        <v>15</v>
      </c>
    </row>
    <row r="2" spans="1:23">
      <c r="A2" t="s">
        <v>10</v>
      </c>
      <c r="C2" s="2">
        <v>201225</v>
      </c>
      <c r="D2" s="2">
        <v>211901</v>
      </c>
      <c r="E2" s="2">
        <v>196299</v>
      </c>
      <c r="F2" s="2">
        <v>198905</v>
      </c>
      <c r="G2" s="2">
        <v>195133</v>
      </c>
      <c r="H2" s="2">
        <v>177874</v>
      </c>
      <c r="I2" s="2">
        <v>193585</v>
      </c>
      <c r="J2" s="2">
        <v>207576</v>
      </c>
      <c r="K2" s="2">
        <v>196697</v>
      </c>
      <c r="L2" s="2">
        <v>196288</v>
      </c>
      <c r="M2" s="2">
        <v>206237</v>
      </c>
      <c r="N2" s="2">
        <v>177806</v>
      </c>
      <c r="O2" s="2">
        <v>184686</v>
      </c>
      <c r="P2" s="2">
        <v>203293</v>
      </c>
      <c r="Q2" s="2">
        <v>177251</v>
      </c>
      <c r="R2" s="2">
        <v>193977</v>
      </c>
      <c r="S2" s="2">
        <v>179786</v>
      </c>
      <c r="T2" s="2">
        <v>199060</v>
      </c>
      <c r="U2" s="2">
        <v>180858</v>
      </c>
      <c r="V2" s="2">
        <v>179873</v>
      </c>
      <c r="W2" s="2">
        <f>MEDIAN(C2:V2)</f>
        <v>195710.5</v>
      </c>
    </row>
    <row r="3" spans="1:23">
      <c r="A3" t="s">
        <v>12</v>
      </c>
      <c r="C3" s="2">
        <v>152536</v>
      </c>
      <c r="D3" s="2">
        <v>162376</v>
      </c>
      <c r="E3" s="2">
        <v>147357</v>
      </c>
      <c r="F3" s="2">
        <v>149980</v>
      </c>
      <c r="G3" s="2">
        <v>145523</v>
      </c>
      <c r="H3" s="2">
        <v>141316</v>
      </c>
      <c r="I3" s="2">
        <v>146788</v>
      </c>
      <c r="J3" s="2">
        <v>158822</v>
      </c>
      <c r="K3" s="2">
        <v>154039</v>
      </c>
      <c r="L3" s="2">
        <v>157772</v>
      </c>
      <c r="M3" s="2">
        <v>158695</v>
      </c>
      <c r="N3" s="2">
        <v>141791</v>
      </c>
      <c r="O3" s="2">
        <v>148666</v>
      </c>
      <c r="P3" s="2">
        <v>152176</v>
      </c>
      <c r="Q3" s="2">
        <v>143574</v>
      </c>
      <c r="R3" s="2">
        <v>151173</v>
      </c>
      <c r="S3" s="2">
        <v>143633</v>
      </c>
      <c r="T3" s="2">
        <v>163245</v>
      </c>
      <c r="U3" s="2">
        <v>142170</v>
      </c>
      <c r="V3" s="2">
        <v>144482</v>
      </c>
      <c r="W3" s="2">
        <f t="shared" ref="W3:W54" si="0">MEDIAN(C3:V3)</f>
        <v>149323</v>
      </c>
    </row>
    <row r="4" spans="1:23">
      <c r="A4" t="s">
        <v>13</v>
      </c>
      <c r="C4" s="2">
        <v>48538.1</v>
      </c>
      <c r="D4" s="2">
        <v>49367.7</v>
      </c>
      <c r="E4" s="2">
        <v>48788.800000000003</v>
      </c>
      <c r="F4" s="2">
        <v>48751.7</v>
      </c>
      <c r="G4" s="2">
        <v>49464.1</v>
      </c>
      <c r="H4" s="2">
        <v>36416.699999999997</v>
      </c>
      <c r="I4" s="2">
        <v>46649.8</v>
      </c>
      <c r="J4" s="2">
        <v>48607.9</v>
      </c>
      <c r="K4" s="2">
        <v>42514.9</v>
      </c>
      <c r="L4" s="2">
        <v>38375.199999999997</v>
      </c>
      <c r="M4" s="2">
        <v>47348.800000000003</v>
      </c>
      <c r="N4" s="2">
        <v>35859.5</v>
      </c>
      <c r="O4" s="2">
        <v>35869.699999999997</v>
      </c>
      <c r="P4" s="2">
        <v>50937.9</v>
      </c>
      <c r="Q4" s="2">
        <v>33520</v>
      </c>
      <c r="R4" s="2">
        <v>42658</v>
      </c>
      <c r="S4" s="2">
        <v>36002.400000000001</v>
      </c>
      <c r="T4" s="2">
        <v>35672.800000000003</v>
      </c>
      <c r="U4" s="2">
        <v>38505.5</v>
      </c>
      <c r="V4" s="2">
        <v>35242.199999999997</v>
      </c>
      <c r="W4" s="2">
        <f t="shared" si="0"/>
        <v>42586.45</v>
      </c>
    </row>
    <row r="5" spans="1:23">
      <c r="A5" t="s">
        <v>10</v>
      </c>
      <c r="C5" s="2">
        <v>738762</v>
      </c>
      <c r="D5" s="2">
        <v>417895</v>
      </c>
      <c r="E5" s="2">
        <v>411803</v>
      </c>
      <c r="F5" s="2">
        <v>416483</v>
      </c>
      <c r="G5" s="2">
        <v>391670</v>
      </c>
      <c r="H5" s="2">
        <v>403796</v>
      </c>
      <c r="I5" s="2">
        <v>394091</v>
      </c>
      <c r="J5" s="2">
        <v>409111</v>
      </c>
      <c r="K5" s="2">
        <v>392104</v>
      </c>
      <c r="L5" s="2">
        <v>418260</v>
      </c>
      <c r="M5" s="2">
        <v>426530</v>
      </c>
      <c r="N5" s="2">
        <v>423366</v>
      </c>
      <c r="O5" s="2">
        <v>430613</v>
      </c>
      <c r="P5" s="2">
        <v>404155</v>
      </c>
      <c r="Q5" s="2">
        <v>401762</v>
      </c>
      <c r="R5" s="2">
        <v>424180</v>
      </c>
      <c r="S5" s="2">
        <v>447266</v>
      </c>
      <c r="T5" s="2">
        <v>405863</v>
      </c>
      <c r="U5" s="2">
        <v>396092</v>
      </c>
      <c r="V5" s="2">
        <v>400542</v>
      </c>
      <c r="W5" s="2">
        <f t="shared" si="0"/>
        <v>410457</v>
      </c>
    </row>
    <row r="6" spans="1:23">
      <c r="A6" t="s">
        <v>12</v>
      </c>
      <c r="C6" s="2">
        <v>651414</v>
      </c>
      <c r="D6" s="2">
        <v>334229</v>
      </c>
      <c r="E6" s="2">
        <v>324469</v>
      </c>
      <c r="F6" s="2">
        <v>331442</v>
      </c>
      <c r="G6" s="2">
        <v>314449</v>
      </c>
      <c r="H6" s="2">
        <v>325434</v>
      </c>
      <c r="I6" s="2">
        <v>313287</v>
      </c>
      <c r="J6" s="2">
        <v>325419</v>
      </c>
      <c r="K6" s="2">
        <v>310146</v>
      </c>
      <c r="L6" s="2">
        <v>337943</v>
      </c>
      <c r="M6" s="2">
        <v>339636</v>
      </c>
      <c r="N6" s="2">
        <v>341216</v>
      </c>
      <c r="O6" s="2">
        <v>347403</v>
      </c>
      <c r="P6" s="2">
        <v>324495</v>
      </c>
      <c r="Q6" s="2">
        <v>325832</v>
      </c>
      <c r="R6" s="2">
        <v>340762</v>
      </c>
      <c r="S6" s="2">
        <v>359870</v>
      </c>
      <c r="T6" s="2">
        <v>325319</v>
      </c>
      <c r="U6" s="2">
        <v>312667</v>
      </c>
      <c r="V6" s="2">
        <v>313449</v>
      </c>
      <c r="W6" s="2">
        <f t="shared" si="0"/>
        <v>325633</v>
      </c>
    </row>
    <row r="7" spans="1:23">
      <c r="A7" t="s">
        <v>13</v>
      </c>
      <c r="C7" s="2">
        <v>87022.6</v>
      </c>
      <c r="D7" s="2">
        <v>83403.600000000006</v>
      </c>
      <c r="E7" s="2">
        <v>87100.4</v>
      </c>
      <c r="F7" s="2">
        <v>84835.4</v>
      </c>
      <c r="G7" s="2">
        <v>77018.3</v>
      </c>
      <c r="H7" s="2">
        <v>78146</v>
      </c>
      <c r="I7" s="2">
        <v>80603.100000000006</v>
      </c>
      <c r="J7" s="2">
        <v>83466.899999999994</v>
      </c>
      <c r="K7" s="2">
        <v>81748</v>
      </c>
      <c r="L7" s="2">
        <v>80089.3</v>
      </c>
      <c r="M7" s="2">
        <v>86684</v>
      </c>
      <c r="N7" s="2">
        <v>81932.899999999994</v>
      </c>
      <c r="O7" s="2">
        <v>83012.600000000006</v>
      </c>
      <c r="P7" s="2">
        <v>79426.8</v>
      </c>
      <c r="Q7" s="2">
        <v>75723.7</v>
      </c>
      <c r="R7" s="2">
        <v>83184.5</v>
      </c>
      <c r="S7" s="2">
        <v>87187.4</v>
      </c>
      <c r="T7" s="2">
        <v>80291.899999999994</v>
      </c>
      <c r="U7" s="2">
        <v>83212.800000000003</v>
      </c>
      <c r="V7" s="2">
        <v>86874.6</v>
      </c>
      <c r="W7" s="2">
        <f t="shared" si="0"/>
        <v>83098.55</v>
      </c>
    </row>
    <row r="8" spans="1:23">
      <c r="A8" t="s">
        <v>10</v>
      </c>
      <c r="C8" s="2">
        <v>641685</v>
      </c>
      <c r="D8" s="2">
        <v>657730</v>
      </c>
      <c r="E8" s="2">
        <v>620202</v>
      </c>
      <c r="F8" s="2">
        <v>623393</v>
      </c>
      <c r="G8" s="2">
        <v>642457</v>
      </c>
      <c r="H8" s="2">
        <v>624378</v>
      </c>
      <c r="I8" s="2">
        <v>647968</v>
      </c>
      <c r="J8" s="2">
        <v>649210</v>
      </c>
      <c r="K8" s="2">
        <v>609769</v>
      </c>
      <c r="L8" s="2">
        <v>634888</v>
      </c>
      <c r="M8" s="2">
        <v>598933</v>
      </c>
      <c r="N8" s="2">
        <v>612438</v>
      </c>
      <c r="O8" s="2">
        <v>624519</v>
      </c>
      <c r="P8" s="2">
        <v>631337</v>
      </c>
      <c r="Q8" s="2">
        <v>618337</v>
      </c>
      <c r="R8" s="2">
        <v>634667</v>
      </c>
      <c r="S8" s="2">
        <v>629986</v>
      </c>
      <c r="T8" s="2">
        <v>611332</v>
      </c>
      <c r="U8" s="2">
        <v>615672</v>
      </c>
      <c r="V8" s="2">
        <v>637665</v>
      </c>
      <c r="W8" s="2">
        <f t="shared" si="0"/>
        <v>627252.5</v>
      </c>
    </row>
    <row r="9" spans="1:23">
      <c r="A9" t="s">
        <v>12</v>
      </c>
      <c r="C9" s="2">
        <v>530320</v>
      </c>
      <c r="D9" s="2">
        <v>548448</v>
      </c>
      <c r="E9" s="2">
        <v>512128</v>
      </c>
      <c r="F9" s="2">
        <v>512462</v>
      </c>
      <c r="G9" s="2">
        <v>534045</v>
      </c>
      <c r="H9" s="2">
        <v>518241</v>
      </c>
      <c r="I9" s="2">
        <v>535602</v>
      </c>
      <c r="J9" s="2">
        <v>539940</v>
      </c>
      <c r="K9" s="2">
        <v>501398</v>
      </c>
      <c r="L9" s="2">
        <v>527589</v>
      </c>
      <c r="M9" s="2">
        <v>501832</v>
      </c>
      <c r="N9" s="2">
        <v>504206</v>
      </c>
      <c r="O9" s="2">
        <v>511888</v>
      </c>
      <c r="P9" s="2">
        <v>522462</v>
      </c>
      <c r="Q9" s="2">
        <v>504716</v>
      </c>
      <c r="R9" s="2">
        <v>527716</v>
      </c>
      <c r="S9" s="2">
        <v>522301</v>
      </c>
      <c r="T9" s="2">
        <v>510976</v>
      </c>
      <c r="U9" s="2">
        <v>512702</v>
      </c>
      <c r="V9" s="2">
        <v>533251</v>
      </c>
      <c r="W9" s="2">
        <f t="shared" si="0"/>
        <v>520271</v>
      </c>
    </row>
    <row r="10" spans="1:23">
      <c r="A10" t="s">
        <v>13</v>
      </c>
      <c r="C10" s="2">
        <v>111141</v>
      </c>
      <c r="D10" s="2">
        <v>109067</v>
      </c>
      <c r="E10" s="2">
        <v>107859</v>
      </c>
      <c r="F10" s="2">
        <v>110677</v>
      </c>
      <c r="G10" s="2">
        <v>108204</v>
      </c>
      <c r="H10" s="2">
        <v>105926</v>
      </c>
      <c r="I10" s="2">
        <v>112159</v>
      </c>
      <c r="J10" s="2">
        <v>108996</v>
      </c>
      <c r="K10" s="2">
        <v>108132</v>
      </c>
      <c r="L10" s="2">
        <v>107085</v>
      </c>
      <c r="M10" s="2">
        <v>96878.6</v>
      </c>
      <c r="N10" s="2">
        <v>108017</v>
      </c>
      <c r="O10" s="2">
        <v>112393</v>
      </c>
      <c r="P10" s="2">
        <v>108653</v>
      </c>
      <c r="Q10" s="2">
        <v>113410</v>
      </c>
      <c r="R10" s="2">
        <v>106732</v>
      </c>
      <c r="S10" s="2">
        <v>107452</v>
      </c>
      <c r="T10" s="2">
        <v>100135</v>
      </c>
      <c r="U10" s="2">
        <v>102752</v>
      </c>
      <c r="V10" s="2">
        <v>104196</v>
      </c>
      <c r="W10" s="2">
        <f t="shared" si="0"/>
        <v>108074.5</v>
      </c>
    </row>
    <row r="11" spans="1:23">
      <c r="A11" t="s">
        <v>10</v>
      </c>
      <c r="C11" s="2">
        <v>778827</v>
      </c>
      <c r="D11" s="2">
        <v>791622</v>
      </c>
      <c r="E11" s="2">
        <v>808949</v>
      </c>
      <c r="F11" s="2">
        <v>1220750</v>
      </c>
      <c r="G11" s="2">
        <v>844911</v>
      </c>
      <c r="H11" s="2">
        <v>860729</v>
      </c>
      <c r="I11" s="2">
        <v>836994</v>
      </c>
      <c r="J11" s="2">
        <v>807357</v>
      </c>
      <c r="K11" s="2">
        <v>826852</v>
      </c>
      <c r="L11" s="2">
        <v>839284</v>
      </c>
      <c r="M11" s="2">
        <v>800062</v>
      </c>
      <c r="N11" s="2">
        <v>841813</v>
      </c>
      <c r="O11" s="2">
        <v>775835</v>
      </c>
      <c r="P11" s="2">
        <v>806907</v>
      </c>
      <c r="Q11" s="2">
        <v>824372</v>
      </c>
      <c r="R11" s="2">
        <v>829701</v>
      </c>
      <c r="S11" s="2">
        <v>812719</v>
      </c>
      <c r="T11" s="2">
        <v>810500</v>
      </c>
      <c r="U11" s="2">
        <v>819143</v>
      </c>
      <c r="V11" s="2">
        <v>853652</v>
      </c>
      <c r="W11" s="2">
        <f t="shared" si="0"/>
        <v>821757.5</v>
      </c>
    </row>
    <row r="12" spans="1:23">
      <c r="A12" t="s">
        <v>12</v>
      </c>
      <c r="C12" s="2">
        <v>661566</v>
      </c>
      <c r="D12" s="2">
        <v>669928</v>
      </c>
      <c r="E12" s="2">
        <v>688932</v>
      </c>
      <c r="F12" s="2">
        <v>864490</v>
      </c>
      <c r="G12" s="2">
        <v>694515</v>
      </c>
      <c r="H12" s="2">
        <v>736216</v>
      </c>
      <c r="I12" s="2">
        <v>709952</v>
      </c>
      <c r="J12" s="2">
        <v>679775</v>
      </c>
      <c r="K12" s="2">
        <v>700000</v>
      </c>
      <c r="L12" s="2">
        <v>716079</v>
      </c>
      <c r="M12" s="2">
        <v>678044</v>
      </c>
      <c r="N12" s="2">
        <v>717788</v>
      </c>
      <c r="O12" s="2">
        <v>657491</v>
      </c>
      <c r="P12" s="2">
        <v>674847</v>
      </c>
      <c r="Q12" s="2">
        <v>696098</v>
      </c>
      <c r="R12" s="2">
        <v>707986</v>
      </c>
      <c r="S12" s="2">
        <v>684757</v>
      </c>
      <c r="T12" s="2">
        <v>695022</v>
      </c>
      <c r="U12" s="2">
        <v>694936</v>
      </c>
      <c r="V12" s="2">
        <v>723222</v>
      </c>
      <c r="W12" s="2">
        <f t="shared" si="0"/>
        <v>694979</v>
      </c>
    </row>
    <row r="13" spans="1:23">
      <c r="A13" t="s">
        <v>13</v>
      </c>
      <c r="C13" s="2">
        <v>117045</v>
      </c>
      <c r="D13" s="2">
        <v>121473</v>
      </c>
      <c r="E13" s="2">
        <v>119718</v>
      </c>
      <c r="F13" s="2">
        <v>355872</v>
      </c>
      <c r="G13" s="2">
        <v>150183</v>
      </c>
      <c r="H13" s="2">
        <v>124276</v>
      </c>
      <c r="I13" s="2">
        <v>126821</v>
      </c>
      <c r="J13" s="2">
        <v>127306</v>
      </c>
      <c r="K13" s="2">
        <v>126577</v>
      </c>
      <c r="L13" s="2">
        <v>122988</v>
      </c>
      <c r="M13" s="2">
        <v>121802</v>
      </c>
      <c r="N13" s="2">
        <v>123767</v>
      </c>
      <c r="O13" s="2">
        <v>118097</v>
      </c>
      <c r="P13" s="2">
        <v>131807</v>
      </c>
      <c r="Q13" s="2">
        <v>128047</v>
      </c>
      <c r="R13" s="2">
        <v>121509</v>
      </c>
      <c r="S13" s="2">
        <v>127738</v>
      </c>
      <c r="T13" s="2">
        <v>115262</v>
      </c>
      <c r="U13" s="2">
        <v>123985</v>
      </c>
      <c r="V13" s="2">
        <v>130167</v>
      </c>
      <c r="W13" s="2">
        <f t="shared" si="0"/>
        <v>124130.5</v>
      </c>
    </row>
    <row r="14" spans="1:23">
      <c r="A14" t="s">
        <v>10</v>
      </c>
      <c r="C14" s="2">
        <v>1004360</v>
      </c>
      <c r="D14" s="2">
        <v>999432</v>
      </c>
      <c r="E14" s="2">
        <v>1004810</v>
      </c>
      <c r="F14" s="2">
        <v>1058320</v>
      </c>
      <c r="G14" s="2">
        <v>1016000</v>
      </c>
      <c r="H14" s="2">
        <v>1022380</v>
      </c>
      <c r="I14" s="2">
        <v>1025010</v>
      </c>
      <c r="J14" s="2">
        <v>1036740</v>
      </c>
      <c r="K14" s="2">
        <v>989373</v>
      </c>
      <c r="L14" s="2">
        <v>1544070</v>
      </c>
      <c r="M14" s="2">
        <v>1308030</v>
      </c>
      <c r="N14" s="2">
        <v>1026420</v>
      </c>
      <c r="O14" s="2">
        <v>1011370</v>
      </c>
      <c r="P14" s="2">
        <v>1021230</v>
      </c>
      <c r="Q14" s="2">
        <v>1050660</v>
      </c>
      <c r="R14" s="2">
        <v>1011710</v>
      </c>
      <c r="S14" s="2">
        <v>1310390</v>
      </c>
      <c r="T14" s="2">
        <v>1036220</v>
      </c>
      <c r="U14" s="2">
        <v>1017510</v>
      </c>
      <c r="V14" s="2">
        <v>1029650</v>
      </c>
      <c r="W14" s="2">
        <f t="shared" si="0"/>
        <v>1023695</v>
      </c>
    </row>
    <row r="15" spans="1:23">
      <c r="A15" t="s">
        <v>12</v>
      </c>
      <c r="C15" s="2">
        <v>860430</v>
      </c>
      <c r="D15" s="2">
        <v>867558</v>
      </c>
      <c r="E15" s="2">
        <v>864453</v>
      </c>
      <c r="F15" s="2">
        <v>908741</v>
      </c>
      <c r="G15" s="2">
        <v>870299</v>
      </c>
      <c r="H15" s="2">
        <v>876351</v>
      </c>
      <c r="I15" s="2">
        <v>883426</v>
      </c>
      <c r="J15" s="2">
        <v>894125</v>
      </c>
      <c r="K15" s="2">
        <v>850126</v>
      </c>
      <c r="L15" s="2">
        <v>1364180</v>
      </c>
      <c r="M15" s="2">
        <v>1125660</v>
      </c>
      <c r="N15" s="2">
        <v>883445</v>
      </c>
      <c r="O15" s="2">
        <v>864322</v>
      </c>
      <c r="P15" s="2">
        <v>870973</v>
      </c>
      <c r="Q15" s="2">
        <v>908385</v>
      </c>
      <c r="R15" s="2">
        <v>870786</v>
      </c>
      <c r="S15" s="2">
        <v>1134820</v>
      </c>
      <c r="T15" s="2">
        <v>886646</v>
      </c>
      <c r="U15" s="2">
        <v>873590</v>
      </c>
      <c r="V15" s="2">
        <v>884110</v>
      </c>
      <c r="W15" s="2">
        <f t="shared" si="0"/>
        <v>879888.5</v>
      </c>
    </row>
    <row r="16" spans="1:23">
      <c r="A16" t="s">
        <v>13</v>
      </c>
      <c r="C16" s="2">
        <v>143705</v>
      </c>
      <c r="D16" s="2">
        <v>131661</v>
      </c>
      <c r="E16" s="2">
        <v>140138</v>
      </c>
      <c r="F16" s="2">
        <v>149352</v>
      </c>
      <c r="G16" s="2">
        <v>145499</v>
      </c>
      <c r="H16" s="2">
        <v>145809</v>
      </c>
      <c r="I16" s="2">
        <v>141366</v>
      </c>
      <c r="J16" s="2">
        <v>142403</v>
      </c>
      <c r="K16" s="2">
        <v>139029</v>
      </c>
      <c r="L16" s="2">
        <v>179350</v>
      </c>
      <c r="M16" s="2">
        <v>181952</v>
      </c>
      <c r="N16" s="2">
        <v>142758</v>
      </c>
      <c r="O16" s="2">
        <v>146797</v>
      </c>
      <c r="P16" s="2">
        <v>149971</v>
      </c>
      <c r="Q16" s="2">
        <v>142042</v>
      </c>
      <c r="R16" s="2">
        <v>140699</v>
      </c>
      <c r="S16" s="2">
        <v>175130</v>
      </c>
      <c r="T16" s="2">
        <v>149331</v>
      </c>
      <c r="U16" s="2">
        <v>143696</v>
      </c>
      <c r="V16" s="2">
        <v>145304</v>
      </c>
      <c r="W16" s="2">
        <f t="shared" si="0"/>
        <v>144504.5</v>
      </c>
    </row>
    <row r="17" spans="1:23">
      <c r="A17" t="s">
        <v>10</v>
      </c>
      <c r="C17" s="2">
        <v>1200320</v>
      </c>
      <c r="D17" s="2">
        <v>1254040</v>
      </c>
      <c r="E17" s="2">
        <v>1230960</v>
      </c>
      <c r="F17" s="2">
        <v>1301320</v>
      </c>
      <c r="G17" s="2">
        <v>1214550</v>
      </c>
      <c r="H17" s="2">
        <v>1208600</v>
      </c>
      <c r="I17" s="2">
        <v>1217120</v>
      </c>
      <c r="J17" s="2">
        <v>1223550</v>
      </c>
      <c r="K17" s="2">
        <v>1203860</v>
      </c>
      <c r="L17" s="2">
        <v>1201180</v>
      </c>
      <c r="M17" s="2">
        <v>1211550</v>
      </c>
      <c r="N17" s="2">
        <v>1745340</v>
      </c>
      <c r="O17" s="2">
        <v>1180810</v>
      </c>
      <c r="P17" s="2">
        <v>1248160</v>
      </c>
      <c r="Q17" s="2">
        <v>1189880</v>
      </c>
      <c r="R17" s="2">
        <v>1208450</v>
      </c>
      <c r="S17" s="2">
        <v>1236450</v>
      </c>
      <c r="T17" s="2">
        <v>1222090</v>
      </c>
      <c r="U17" s="2">
        <v>1194680</v>
      </c>
      <c r="V17" s="2">
        <v>1172420</v>
      </c>
      <c r="W17" s="2">
        <f t="shared" si="0"/>
        <v>1213050</v>
      </c>
    </row>
    <row r="18" spans="1:23">
      <c r="A18" t="s">
        <v>12</v>
      </c>
      <c r="C18" s="2">
        <v>1036440</v>
      </c>
      <c r="D18" s="2">
        <v>1092920</v>
      </c>
      <c r="E18" s="2">
        <v>1070360</v>
      </c>
      <c r="F18" s="2">
        <v>1078310</v>
      </c>
      <c r="G18" s="2">
        <v>1057060</v>
      </c>
      <c r="H18" s="2">
        <v>1046480</v>
      </c>
      <c r="I18" s="2">
        <v>1057780</v>
      </c>
      <c r="J18" s="2">
        <v>1060490</v>
      </c>
      <c r="K18" s="2">
        <v>1041500</v>
      </c>
      <c r="L18" s="2">
        <v>1040980</v>
      </c>
      <c r="M18" s="2">
        <v>1052360</v>
      </c>
      <c r="N18" s="2">
        <v>1533770</v>
      </c>
      <c r="O18" s="2">
        <v>1026940</v>
      </c>
      <c r="P18" s="2">
        <v>1083840</v>
      </c>
      <c r="Q18" s="2">
        <v>1033440</v>
      </c>
      <c r="R18" s="2">
        <v>1045190</v>
      </c>
      <c r="S18" s="2">
        <v>1074850</v>
      </c>
      <c r="T18" s="2">
        <v>1062780</v>
      </c>
      <c r="U18" s="2">
        <v>1038850</v>
      </c>
      <c r="V18" s="2">
        <v>1015370</v>
      </c>
      <c r="W18" s="2">
        <f t="shared" si="0"/>
        <v>1054710</v>
      </c>
    </row>
    <row r="19" spans="1:23">
      <c r="A19" t="s">
        <v>13</v>
      </c>
      <c r="C19" s="2">
        <v>163647</v>
      </c>
      <c r="D19" s="2">
        <v>160879</v>
      </c>
      <c r="E19" s="2">
        <v>160367</v>
      </c>
      <c r="F19" s="2">
        <v>222767</v>
      </c>
      <c r="G19" s="2">
        <v>157270</v>
      </c>
      <c r="H19" s="2">
        <v>161876</v>
      </c>
      <c r="I19" s="2">
        <v>159088</v>
      </c>
      <c r="J19" s="2">
        <v>162839</v>
      </c>
      <c r="K19" s="2">
        <v>162125</v>
      </c>
      <c r="L19" s="2">
        <v>159940</v>
      </c>
      <c r="M19" s="2">
        <v>158977</v>
      </c>
      <c r="N19" s="2">
        <v>211040</v>
      </c>
      <c r="O19" s="2">
        <v>153642</v>
      </c>
      <c r="P19" s="2">
        <v>164076</v>
      </c>
      <c r="Q19" s="2">
        <v>156215</v>
      </c>
      <c r="R19" s="2">
        <v>163034</v>
      </c>
      <c r="S19" s="2">
        <v>161351</v>
      </c>
      <c r="T19" s="2">
        <v>159074</v>
      </c>
      <c r="U19" s="2">
        <v>155610</v>
      </c>
      <c r="V19" s="2">
        <v>156831</v>
      </c>
      <c r="W19" s="2">
        <f t="shared" si="0"/>
        <v>160623</v>
      </c>
    </row>
    <row r="20" spans="1:23">
      <c r="A20" t="s">
        <v>10</v>
      </c>
      <c r="C20" s="2">
        <v>1413470</v>
      </c>
      <c r="D20" s="2">
        <v>1435000</v>
      </c>
      <c r="E20" s="2">
        <v>1422160</v>
      </c>
      <c r="F20" s="2">
        <v>1412540</v>
      </c>
      <c r="G20" s="2">
        <v>1377820</v>
      </c>
      <c r="H20" s="2">
        <v>1403840</v>
      </c>
      <c r="I20" s="2">
        <v>1415090</v>
      </c>
      <c r="J20" s="2">
        <v>1461740</v>
      </c>
      <c r="K20" s="2">
        <v>1410110</v>
      </c>
      <c r="L20" s="2">
        <v>1438900</v>
      </c>
      <c r="M20" s="2">
        <v>1357850</v>
      </c>
      <c r="N20" s="2">
        <v>1398250</v>
      </c>
      <c r="O20" s="2">
        <v>1336570</v>
      </c>
      <c r="P20" s="2">
        <v>1459410</v>
      </c>
      <c r="Q20" s="2">
        <v>1458140</v>
      </c>
      <c r="R20" s="2">
        <v>1370550</v>
      </c>
      <c r="S20" s="2">
        <v>1378300</v>
      </c>
      <c r="T20" s="2">
        <v>1373010</v>
      </c>
      <c r="U20" s="2">
        <v>1409300</v>
      </c>
      <c r="V20" s="2">
        <v>1466330</v>
      </c>
      <c r="W20" s="2">
        <f t="shared" si="0"/>
        <v>1411325</v>
      </c>
    </row>
    <row r="21" spans="1:23">
      <c r="A21" t="s">
        <v>12</v>
      </c>
      <c r="C21" s="2">
        <v>1242320</v>
      </c>
      <c r="D21" s="2">
        <v>1258160</v>
      </c>
      <c r="E21" s="2">
        <v>1242510</v>
      </c>
      <c r="F21" s="2">
        <v>1233870</v>
      </c>
      <c r="G21" s="2">
        <v>1214500</v>
      </c>
      <c r="H21" s="2">
        <v>1232720</v>
      </c>
      <c r="I21" s="2">
        <v>1234830</v>
      </c>
      <c r="J21" s="2">
        <v>1284140</v>
      </c>
      <c r="K21" s="2">
        <v>1233460</v>
      </c>
      <c r="L21" s="2">
        <v>1269500</v>
      </c>
      <c r="M21" s="2">
        <v>1196440</v>
      </c>
      <c r="N21" s="2">
        <v>1235720</v>
      </c>
      <c r="O21" s="2">
        <v>1176420</v>
      </c>
      <c r="P21" s="2">
        <v>1281140</v>
      </c>
      <c r="Q21" s="2">
        <v>1277880</v>
      </c>
      <c r="R21" s="2">
        <v>1206890</v>
      </c>
      <c r="S21" s="2">
        <v>1207540</v>
      </c>
      <c r="T21" s="2">
        <v>1200550</v>
      </c>
      <c r="U21" s="2">
        <v>1243290</v>
      </c>
      <c r="V21" s="2">
        <v>1209320</v>
      </c>
      <c r="W21" s="2">
        <f t="shared" si="0"/>
        <v>1234350</v>
      </c>
    </row>
    <row r="22" spans="1:23">
      <c r="A22" t="s">
        <v>13</v>
      </c>
      <c r="C22" s="2">
        <v>170904</v>
      </c>
      <c r="D22" s="2">
        <v>176610</v>
      </c>
      <c r="E22" s="2">
        <v>179418</v>
      </c>
      <c r="F22" s="2">
        <v>178379</v>
      </c>
      <c r="G22" s="2">
        <v>163040</v>
      </c>
      <c r="H22" s="2">
        <v>170890</v>
      </c>
      <c r="I22" s="2">
        <v>180020</v>
      </c>
      <c r="J22" s="2">
        <v>177363</v>
      </c>
      <c r="K22" s="2">
        <v>176419</v>
      </c>
      <c r="L22" s="2">
        <v>169113</v>
      </c>
      <c r="M22" s="2">
        <v>161163</v>
      </c>
      <c r="N22" s="2">
        <v>162289</v>
      </c>
      <c r="O22" s="2">
        <v>159892</v>
      </c>
      <c r="P22" s="2">
        <v>178042</v>
      </c>
      <c r="Q22" s="2">
        <v>180020</v>
      </c>
      <c r="R22" s="2">
        <v>163417</v>
      </c>
      <c r="S22" s="2">
        <v>170524</v>
      </c>
      <c r="T22" s="2">
        <v>172133</v>
      </c>
      <c r="U22" s="2">
        <v>165774</v>
      </c>
      <c r="V22" s="2">
        <v>256772</v>
      </c>
      <c r="W22" s="2">
        <f t="shared" si="0"/>
        <v>171518.5</v>
      </c>
    </row>
    <row r="23" spans="1:23">
      <c r="A23" t="s">
        <v>10</v>
      </c>
      <c r="C23" s="2">
        <v>1637960</v>
      </c>
      <c r="D23" s="2">
        <v>1629970</v>
      </c>
      <c r="E23" s="2">
        <v>1592970</v>
      </c>
      <c r="F23" s="2">
        <v>1604260</v>
      </c>
      <c r="G23" s="2">
        <v>2108290</v>
      </c>
      <c r="H23" s="2">
        <v>1612910</v>
      </c>
      <c r="I23" s="2">
        <v>1577030</v>
      </c>
      <c r="J23" s="2">
        <v>1626300</v>
      </c>
      <c r="K23" s="2">
        <v>2056270</v>
      </c>
      <c r="L23" s="2">
        <v>1598530</v>
      </c>
      <c r="M23" s="2">
        <v>1625200</v>
      </c>
      <c r="N23" s="2">
        <v>1570310</v>
      </c>
      <c r="O23" s="2">
        <v>1596920</v>
      </c>
      <c r="P23" s="2">
        <v>1607100</v>
      </c>
      <c r="Q23" s="2">
        <v>1605500</v>
      </c>
      <c r="R23" s="2">
        <v>1616980</v>
      </c>
      <c r="S23" s="2">
        <v>1598980</v>
      </c>
      <c r="T23" s="2">
        <v>1668150</v>
      </c>
      <c r="U23" s="2">
        <v>1592150</v>
      </c>
      <c r="V23" s="2">
        <v>1599590</v>
      </c>
      <c r="W23" s="2">
        <f t="shared" si="0"/>
        <v>1606300</v>
      </c>
    </row>
    <row r="24" spans="1:23">
      <c r="A24" t="s">
        <v>12</v>
      </c>
      <c r="C24" s="2">
        <v>1444800</v>
      </c>
      <c r="D24" s="2">
        <v>1433540</v>
      </c>
      <c r="E24" s="2">
        <v>1400600</v>
      </c>
      <c r="F24" s="2">
        <v>1410870</v>
      </c>
      <c r="G24" s="2">
        <v>1889440</v>
      </c>
      <c r="H24" s="2">
        <v>1415050</v>
      </c>
      <c r="I24" s="2">
        <v>1381270</v>
      </c>
      <c r="J24" s="2">
        <v>1436310</v>
      </c>
      <c r="K24" s="2">
        <v>1846540</v>
      </c>
      <c r="L24" s="2">
        <v>1418640</v>
      </c>
      <c r="M24" s="2">
        <v>1403800</v>
      </c>
      <c r="N24" s="2">
        <v>1391480</v>
      </c>
      <c r="O24" s="2">
        <v>1407990</v>
      </c>
      <c r="P24" s="2">
        <v>1412740</v>
      </c>
      <c r="Q24" s="2">
        <v>1415410</v>
      </c>
      <c r="R24" s="2">
        <v>1433130</v>
      </c>
      <c r="S24" s="2">
        <v>1405050</v>
      </c>
      <c r="T24" s="2">
        <v>1433500</v>
      </c>
      <c r="U24" s="2">
        <v>1401810</v>
      </c>
      <c r="V24" s="2">
        <v>1410740</v>
      </c>
      <c r="W24" s="2">
        <f t="shared" si="0"/>
        <v>1413895</v>
      </c>
    </row>
    <row r="25" spans="1:23">
      <c r="A25" t="s">
        <v>13</v>
      </c>
      <c r="C25" s="2">
        <v>192911</v>
      </c>
      <c r="D25" s="2">
        <v>196130</v>
      </c>
      <c r="E25" s="2">
        <v>192101</v>
      </c>
      <c r="F25" s="2">
        <v>193130</v>
      </c>
      <c r="G25" s="2">
        <v>218337</v>
      </c>
      <c r="H25" s="2">
        <v>197594</v>
      </c>
      <c r="I25" s="2">
        <v>195430</v>
      </c>
      <c r="J25" s="2">
        <v>189745</v>
      </c>
      <c r="K25" s="2">
        <v>209148</v>
      </c>
      <c r="L25" s="2">
        <v>179615</v>
      </c>
      <c r="M25" s="2">
        <v>221142</v>
      </c>
      <c r="N25" s="2">
        <v>178577</v>
      </c>
      <c r="O25" s="2">
        <v>188672</v>
      </c>
      <c r="P25" s="2">
        <v>194043</v>
      </c>
      <c r="Q25" s="2">
        <v>189814</v>
      </c>
      <c r="R25" s="2">
        <v>183609</v>
      </c>
      <c r="S25" s="2">
        <v>193666</v>
      </c>
      <c r="T25" s="2">
        <v>234380</v>
      </c>
      <c r="U25" s="2">
        <v>190088</v>
      </c>
      <c r="V25" s="2">
        <v>188616</v>
      </c>
      <c r="W25" s="2">
        <f t="shared" si="0"/>
        <v>193020.5</v>
      </c>
    </row>
    <row r="31" spans="1:23">
      <c r="A31" t="s">
        <v>10</v>
      </c>
      <c r="B31" t="s">
        <v>11</v>
      </c>
      <c r="C31" s="2">
        <v>92835.5</v>
      </c>
      <c r="D31" s="2">
        <v>87536.9</v>
      </c>
      <c r="E31" s="2">
        <v>92355.199999999997</v>
      </c>
      <c r="F31" s="2">
        <v>93125.5</v>
      </c>
      <c r="G31" s="2">
        <v>91401</v>
      </c>
      <c r="H31" s="2">
        <v>89322.4</v>
      </c>
      <c r="I31" s="2">
        <v>90745.3</v>
      </c>
      <c r="J31" s="2">
        <v>89770.1</v>
      </c>
      <c r="K31" s="2">
        <v>91335</v>
      </c>
      <c r="L31" s="2">
        <v>91157.2</v>
      </c>
      <c r="M31" s="2">
        <v>91212.5</v>
      </c>
      <c r="N31" s="2">
        <v>91129.4</v>
      </c>
      <c r="O31" s="2">
        <v>92707</v>
      </c>
      <c r="P31" s="2">
        <v>83992.2</v>
      </c>
      <c r="Q31" s="2">
        <v>90742</v>
      </c>
      <c r="R31" s="2">
        <v>90478.8</v>
      </c>
      <c r="S31" s="2">
        <v>91422.2</v>
      </c>
      <c r="T31" s="2">
        <v>90076.6</v>
      </c>
      <c r="U31" s="2">
        <v>86147.199999999997</v>
      </c>
      <c r="V31" s="2">
        <v>83686.8</v>
      </c>
      <c r="W31" s="2">
        <f t="shared" si="0"/>
        <v>90937.35</v>
      </c>
    </row>
    <row r="32" spans="1:23">
      <c r="A32" t="s">
        <v>12</v>
      </c>
      <c r="B32" t="s">
        <v>11</v>
      </c>
      <c r="C32" s="2">
        <v>70449.7</v>
      </c>
      <c r="D32" s="2">
        <v>65265.1</v>
      </c>
      <c r="E32" s="2">
        <v>71783.7</v>
      </c>
      <c r="F32" s="2">
        <v>71874.5</v>
      </c>
      <c r="G32" s="2">
        <v>69037.3</v>
      </c>
      <c r="H32" s="2">
        <v>67863.3</v>
      </c>
      <c r="I32" s="2">
        <v>70286.899999999994</v>
      </c>
      <c r="J32" s="2">
        <v>68126.600000000006</v>
      </c>
      <c r="K32" s="2">
        <v>69907.100000000006</v>
      </c>
      <c r="L32" s="2">
        <v>68766</v>
      </c>
      <c r="M32" s="2">
        <v>70179.7</v>
      </c>
      <c r="N32" s="2">
        <v>68351</v>
      </c>
      <c r="O32" s="2">
        <v>70083</v>
      </c>
      <c r="P32" s="2">
        <v>61582.400000000001</v>
      </c>
      <c r="Q32" s="2">
        <v>69949.100000000006</v>
      </c>
      <c r="R32" s="2">
        <v>68574.3</v>
      </c>
      <c r="S32" s="2">
        <v>70083.899999999994</v>
      </c>
      <c r="T32" s="2">
        <v>66744.899999999994</v>
      </c>
      <c r="U32" s="2">
        <v>64107.8</v>
      </c>
      <c r="V32" s="2">
        <v>60817.7</v>
      </c>
      <c r="W32" s="2">
        <f t="shared" si="0"/>
        <v>68901.649999999994</v>
      </c>
    </row>
    <row r="33" spans="1:23">
      <c r="A33" t="s">
        <v>13</v>
      </c>
      <c r="B33" t="s">
        <v>11</v>
      </c>
      <c r="C33" s="2">
        <v>22224.2</v>
      </c>
      <c r="D33" s="2">
        <v>22122</v>
      </c>
      <c r="E33" s="2">
        <v>20422.400000000001</v>
      </c>
      <c r="F33" s="2">
        <v>21100.9</v>
      </c>
      <c r="G33" s="2">
        <v>22212.5</v>
      </c>
      <c r="H33" s="2">
        <v>21303.4</v>
      </c>
      <c r="I33" s="2">
        <v>20294.099999999999</v>
      </c>
      <c r="J33" s="2">
        <v>21481.5</v>
      </c>
      <c r="K33" s="2">
        <v>21270.6</v>
      </c>
      <c r="L33" s="2">
        <v>22232.2</v>
      </c>
      <c r="M33" s="2">
        <v>20871.5</v>
      </c>
      <c r="N33" s="2">
        <v>22620.2</v>
      </c>
      <c r="O33" s="2">
        <v>22472.5</v>
      </c>
      <c r="P33" s="2">
        <v>22258.5</v>
      </c>
      <c r="Q33" s="2">
        <v>20639.2</v>
      </c>
      <c r="R33" s="2">
        <v>21742</v>
      </c>
      <c r="S33" s="2">
        <v>21186.400000000001</v>
      </c>
      <c r="T33" s="2">
        <v>23180.799999999999</v>
      </c>
      <c r="U33" s="2">
        <v>21887.9</v>
      </c>
      <c r="V33" s="2">
        <v>22716.1</v>
      </c>
      <c r="W33" s="2">
        <f t="shared" si="0"/>
        <v>21814.95</v>
      </c>
    </row>
    <row r="34" spans="1:23">
      <c r="A34" t="s">
        <v>10</v>
      </c>
      <c r="B34" t="s">
        <v>11</v>
      </c>
      <c r="C34" s="2">
        <v>200984</v>
      </c>
      <c r="D34" s="2">
        <v>207153</v>
      </c>
      <c r="E34" s="2">
        <v>203872</v>
      </c>
      <c r="F34" s="2">
        <v>203631</v>
      </c>
      <c r="G34" s="2">
        <v>204719</v>
      </c>
      <c r="H34" s="2">
        <v>203137</v>
      </c>
      <c r="I34" s="2">
        <v>210155</v>
      </c>
      <c r="J34" s="2">
        <v>205383</v>
      </c>
      <c r="K34" s="2">
        <v>202454</v>
      </c>
      <c r="L34" s="2">
        <v>199997</v>
      </c>
      <c r="M34" s="2">
        <v>210331</v>
      </c>
      <c r="N34" s="2">
        <v>205535</v>
      </c>
      <c r="O34" s="2">
        <v>204061</v>
      </c>
      <c r="P34" s="2">
        <v>203730</v>
      </c>
      <c r="Q34" s="2">
        <v>206492</v>
      </c>
      <c r="R34" s="2">
        <v>203887</v>
      </c>
      <c r="S34" s="2">
        <v>210355</v>
      </c>
      <c r="T34" s="2">
        <v>209729</v>
      </c>
      <c r="U34" s="2">
        <v>201532</v>
      </c>
      <c r="V34" s="2">
        <v>211740</v>
      </c>
      <c r="W34" s="2">
        <f t="shared" si="0"/>
        <v>204390</v>
      </c>
    </row>
    <row r="35" spans="1:23">
      <c r="A35" t="s">
        <v>12</v>
      </c>
      <c r="B35" t="s">
        <v>11</v>
      </c>
      <c r="C35" s="2">
        <v>158666</v>
      </c>
      <c r="D35" s="2">
        <v>160209</v>
      </c>
      <c r="E35" s="2">
        <v>158654</v>
      </c>
      <c r="F35" s="2">
        <v>158048</v>
      </c>
      <c r="G35" s="2">
        <v>157324</v>
      </c>
      <c r="H35" s="2">
        <v>156625</v>
      </c>
      <c r="I35" s="2">
        <v>163210</v>
      </c>
      <c r="J35" s="2">
        <v>158367</v>
      </c>
      <c r="K35" s="2">
        <v>156586</v>
      </c>
      <c r="L35" s="2">
        <v>153184</v>
      </c>
      <c r="M35" s="2">
        <v>163038</v>
      </c>
      <c r="N35" s="2">
        <v>159291</v>
      </c>
      <c r="O35" s="2">
        <v>159910</v>
      </c>
      <c r="P35" s="2">
        <v>158215</v>
      </c>
      <c r="Q35" s="2">
        <v>162272</v>
      </c>
      <c r="R35" s="2">
        <v>160231</v>
      </c>
      <c r="S35" s="2">
        <v>163749</v>
      </c>
      <c r="T35" s="2">
        <v>162789</v>
      </c>
      <c r="U35" s="2">
        <v>156670</v>
      </c>
      <c r="V35" s="2">
        <v>161507</v>
      </c>
      <c r="W35" s="2">
        <f t="shared" si="0"/>
        <v>158978.5</v>
      </c>
    </row>
    <row r="36" spans="1:23">
      <c r="A36" t="s">
        <v>13</v>
      </c>
      <c r="B36" t="s">
        <v>11</v>
      </c>
      <c r="C36" s="2">
        <v>42106.7</v>
      </c>
      <c r="D36" s="2">
        <v>46735.5</v>
      </c>
      <c r="E36" s="2">
        <v>45009.599999999999</v>
      </c>
      <c r="F36" s="2">
        <v>45379.199999999997</v>
      </c>
      <c r="G36" s="2">
        <v>47195.6</v>
      </c>
      <c r="H36" s="2">
        <v>46295.5</v>
      </c>
      <c r="I36" s="2">
        <v>46730.400000000001</v>
      </c>
      <c r="J36" s="2">
        <v>46793.7</v>
      </c>
      <c r="K36" s="2">
        <v>45653.5</v>
      </c>
      <c r="L36" s="2">
        <v>46601.7</v>
      </c>
      <c r="M36" s="2">
        <v>47082.9</v>
      </c>
      <c r="N36" s="2">
        <v>46019.1</v>
      </c>
      <c r="O36" s="2">
        <v>43949.1</v>
      </c>
      <c r="P36" s="2">
        <v>45290.2</v>
      </c>
      <c r="Q36" s="2">
        <v>44004.5</v>
      </c>
      <c r="R36" s="2">
        <v>43444.1</v>
      </c>
      <c r="S36" s="2">
        <v>46392.4</v>
      </c>
      <c r="T36" s="2">
        <v>46724.6</v>
      </c>
      <c r="U36" s="2">
        <v>44651.6</v>
      </c>
      <c r="V36" s="2">
        <v>50021.3</v>
      </c>
      <c r="W36" s="2">
        <f t="shared" si="0"/>
        <v>46157.3</v>
      </c>
    </row>
    <row r="37" spans="1:23">
      <c r="A37" t="s">
        <v>10</v>
      </c>
      <c r="B37" t="s">
        <v>11</v>
      </c>
      <c r="C37" s="2">
        <v>320375</v>
      </c>
      <c r="D37" s="2">
        <v>631965</v>
      </c>
      <c r="E37" s="2">
        <v>324208</v>
      </c>
      <c r="F37" s="2">
        <v>323765</v>
      </c>
      <c r="G37" s="2">
        <v>320120</v>
      </c>
      <c r="H37" s="2">
        <v>322796</v>
      </c>
      <c r="I37" s="2">
        <v>320376</v>
      </c>
      <c r="J37" s="2">
        <v>317713</v>
      </c>
      <c r="K37" s="2">
        <v>310301</v>
      </c>
      <c r="L37" s="2">
        <v>312109</v>
      </c>
      <c r="M37" s="2">
        <v>314328</v>
      </c>
      <c r="N37" s="2">
        <v>317152</v>
      </c>
      <c r="O37" s="2">
        <v>320787</v>
      </c>
      <c r="P37" s="2">
        <v>319769</v>
      </c>
      <c r="Q37" s="2">
        <v>321263</v>
      </c>
      <c r="R37" s="2">
        <v>318071</v>
      </c>
      <c r="S37" s="2">
        <v>321364</v>
      </c>
      <c r="T37" s="2">
        <v>320077</v>
      </c>
      <c r="U37" s="2">
        <v>321532</v>
      </c>
      <c r="V37" s="2">
        <v>615814</v>
      </c>
      <c r="W37" s="2">
        <f t="shared" si="0"/>
        <v>320375.5</v>
      </c>
    </row>
    <row r="38" spans="1:23">
      <c r="A38" t="s">
        <v>12</v>
      </c>
      <c r="B38" t="s">
        <v>11</v>
      </c>
      <c r="C38" s="2">
        <v>253595</v>
      </c>
      <c r="D38" s="2">
        <v>534413</v>
      </c>
      <c r="E38" s="2">
        <v>256879</v>
      </c>
      <c r="F38" s="2">
        <v>259048</v>
      </c>
      <c r="G38" s="2">
        <v>252478</v>
      </c>
      <c r="H38" s="2">
        <v>258115</v>
      </c>
      <c r="I38" s="2">
        <v>256649</v>
      </c>
      <c r="J38" s="2">
        <v>252390</v>
      </c>
      <c r="K38" s="2">
        <v>249891</v>
      </c>
      <c r="L38" s="2">
        <v>247197</v>
      </c>
      <c r="M38" s="2">
        <v>251133</v>
      </c>
      <c r="N38" s="2">
        <v>247450</v>
      </c>
      <c r="O38" s="2">
        <v>253229</v>
      </c>
      <c r="P38" s="2">
        <v>255250</v>
      </c>
      <c r="Q38" s="2">
        <v>253043</v>
      </c>
      <c r="R38" s="2">
        <v>252359</v>
      </c>
      <c r="S38" s="2">
        <v>251913</v>
      </c>
      <c r="T38" s="2">
        <v>253115</v>
      </c>
      <c r="U38" s="2">
        <v>255528</v>
      </c>
      <c r="V38" s="2">
        <v>488289</v>
      </c>
      <c r="W38" s="2">
        <f t="shared" si="0"/>
        <v>253172</v>
      </c>
    </row>
    <row r="39" spans="1:23">
      <c r="A39" t="s">
        <v>13</v>
      </c>
      <c r="B39" t="s">
        <v>11</v>
      </c>
      <c r="C39" s="2">
        <v>66570.899999999994</v>
      </c>
      <c r="D39" s="2">
        <v>97164.5</v>
      </c>
      <c r="E39" s="2">
        <v>67114.899999999994</v>
      </c>
      <c r="F39" s="2">
        <v>64504.7</v>
      </c>
      <c r="G39" s="2">
        <v>67421.2</v>
      </c>
      <c r="H39" s="2">
        <v>64466.1</v>
      </c>
      <c r="I39" s="2">
        <v>63511.8</v>
      </c>
      <c r="J39" s="2">
        <v>65110</v>
      </c>
      <c r="K39" s="2">
        <v>60187.7</v>
      </c>
      <c r="L39" s="2">
        <v>64677.4</v>
      </c>
      <c r="M39" s="2">
        <v>62970.5</v>
      </c>
      <c r="N39" s="2">
        <v>69489.600000000006</v>
      </c>
      <c r="O39" s="2">
        <v>67336.899999999994</v>
      </c>
      <c r="P39" s="2">
        <v>64301.3</v>
      </c>
      <c r="Q39" s="2">
        <v>68014.8</v>
      </c>
      <c r="R39" s="2">
        <v>65494.5</v>
      </c>
      <c r="S39" s="2">
        <v>69236.2</v>
      </c>
      <c r="T39" s="2">
        <v>66740.800000000003</v>
      </c>
      <c r="U39" s="2">
        <v>65781.600000000006</v>
      </c>
      <c r="V39" s="2">
        <v>127145</v>
      </c>
      <c r="W39" s="2">
        <f t="shared" si="0"/>
        <v>66176.25</v>
      </c>
    </row>
    <row r="40" spans="1:23">
      <c r="A40" t="s">
        <v>10</v>
      </c>
      <c r="B40" t="s">
        <v>11</v>
      </c>
      <c r="C40" s="2">
        <v>428921</v>
      </c>
      <c r="D40" s="2">
        <v>413260</v>
      </c>
      <c r="E40" s="2">
        <v>402259</v>
      </c>
      <c r="F40" s="2">
        <v>411684</v>
      </c>
      <c r="G40" s="2">
        <v>416445</v>
      </c>
      <c r="H40" s="2">
        <v>419633</v>
      </c>
      <c r="I40" s="2">
        <v>402424</v>
      </c>
      <c r="J40" s="2">
        <v>412027</v>
      </c>
      <c r="K40" s="2">
        <v>420775</v>
      </c>
      <c r="L40" s="2">
        <v>433382</v>
      </c>
      <c r="M40" s="2">
        <v>425894</v>
      </c>
      <c r="N40" s="2">
        <v>433736</v>
      </c>
      <c r="O40" s="2">
        <v>416928</v>
      </c>
      <c r="P40" s="2">
        <v>420273</v>
      </c>
      <c r="Q40" s="2">
        <v>423470</v>
      </c>
      <c r="R40" s="2">
        <v>415190</v>
      </c>
      <c r="S40" s="2">
        <v>425197</v>
      </c>
      <c r="T40" s="2">
        <v>421833</v>
      </c>
      <c r="U40" s="2">
        <v>417766</v>
      </c>
      <c r="V40" s="2">
        <v>429383</v>
      </c>
      <c r="W40" s="2">
        <f t="shared" si="0"/>
        <v>419953</v>
      </c>
    </row>
    <row r="41" spans="1:23">
      <c r="A41" t="s">
        <v>12</v>
      </c>
      <c r="B41" t="s">
        <v>11</v>
      </c>
      <c r="C41" s="2">
        <v>344718</v>
      </c>
      <c r="D41" s="2">
        <v>330218</v>
      </c>
      <c r="E41" s="2">
        <v>321877</v>
      </c>
      <c r="F41" s="2">
        <v>330630</v>
      </c>
      <c r="G41" s="2">
        <v>334608</v>
      </c>
      <c r="H41" s="2">
        <v>336602</v>
      </c>
      <c r="I41" s="2">
        <v>322939</v>
      </c>
      <c r="J41" s="2">
        <v>326451</v>
      </c>
      <c r="K41" s="2">
        <v>338011</v>
      </c>
      <c r="L41" s="2">
        <v>349256</v>
      </c>
      <c r="M41" s="2">
        <v>341277</v>
      </c>
      <c r="N41" s="2">
        <v>346420</v>
      </c>
      <c r="O41" s="2">
        <v>336507</v>
      </c>
      <c r="P41" s="2">
        <v>336821</v>
      </c>
      <c r="Q41" s="2">
        <v>339727</v>
      </c>
      <c r="R41" s="2">
        <v>332291</v>
      </c>
      <c r="S41" s="2">
        <v>340130</v>
      </c>
      <c r="T41" s="2">
        <v>335282</v>
      </c>
      <c r="U41" s="2">
        <v>336673</v>
      </c>
      <c r="V41" s="2">
        <v>324418</v>
      </c>
      <c r="W41" s="2">
        <f t="shared" si="0"/>
        <v>336554.5</v>
      </c>
    </row>
    <row r="42" spans="1:23">
      <c r="A42" t="s">
        <v>13</v>
      </c>
      <c r="B42" t="s">
        <v>11</v>
      </c>
      <c r="C42" s="2">
        <v>83978.3</v>
      </c>
      <c r="D42" s="2">
        <v>82810.100000000006</v>
      </c>
      <c r="E42" s="2">
        <v>80149.100000000006</v>
      </c>
      <c r="F42" s="2">
        <v>80822.5</v>
      </c>
      <c r="G42" s="2">
        <v>81613.399999999994</v>
      </c>
      <c r="H42" s="2">
        <v>82807</v>
      </c>
      <c r="I42" s="2">
        <v>79251.5</v>
      </c>
      <c r="J42" s="2">
        <v>85333.9</v>
      </c>
      <c r="K42" s="2">
        <v>82532.7</v>
      </c>
      <c r="L42" s="2">
        <v>83912.2</v>
      </c>
      <c r="M42" s="2">
        <v>84391.6</v>
      </c>
      <c r="N42" s="2">
        <v>87069.5</v>
      </c>
      <c r="O42" s="2">
        <v>80198.7</v>
      </c>
      <c r="P42" s="2">
        <v>83228.5</v>
      </c>
      <c r="Q42" s="2">
        <v>83516</v>
      </c>
      <c r="R42" s="2">
        <v>82659.399999999994</v>
      </c>
      <c r="S42" s="2">
        <v>84841.8</v>
      </c>
      <c r="T42" s="2">
        <v>86325.7</v>
      </c>
      <c r="U42" s="2">
        <v>80877</v>
      </c>
      <c r="V42" s="2">
        <v>104717</v>
      </c>
      <c r="W42" s="2">
        <f t="shared" si="0"/>
        <v>83019.3</v>
      </c>
    </row>
    <row r="43" spans="1:23">
      <c r="A43" t="s">
        <v>10</v>
      </c>
      <c r="B43" t="s">
        <v>11</v>
      </c>
      <c r="C43" s="2">
        <v>527753</v>
      </c>
      <c r="D43" s="2">
        <v>531193</v>
      </c>
      <c r="E43" s="2">
        <v>528183</v>
      </c>
      <c r="F43" s="2">
        <v>522779</v>
      </c>
      <c r="G43" s="2">
        <v>534534</v>
      </c>
      <c r="H43" s="2">
        <v>533987</v>
      </c>
      <c r="I43" s="2">
        <v>527254</v>
      </c>
      <c r="J43" s="2">
        <v>537443</v>
      </c>
      <c r="K43" s="2">
        <v>544167</v>
      </c>
      <c r="L43" s="2">
        <v>528572</v>
      </c>
      <c r="M43" s="2">
        <v>539072</v>
      </c>
      <c r="N43" s="2">
        <v>534487</v>
      </c>
      <c r="O43" s="2">
        <v>542318</v>
      </c>
      <c r="P43" s="2">
        <v>541867</v>
      </c>
      <c r="Q43" s="2">
        <v>530897</v>
      </c>
      <c r="R43" s="2">
        <v>526085</v>
      </c>
      <c r="S43" s="2">
        <v>532103</v>
      </c>
      <c r="T43" s="2">
        <v>534945</v>
      </c>
      <c r="U43" s="2">
        <v>536202</v>
      </c>
      <c r="V43" s="2">
        <v>523219</v>
      </c>
      <c r="W43" s="2">
        <f t="shared" si="0"/>
        <v>533045</v>
      </c>
    </row>
    <row r="44" spans="1:23">
      <c r="A44" t="s">
        <v>12</v>
      </c>
      <c r="B44" t="s">
        <v>11</v>
      </c>
      <c r="C44" s="2">
        <v>426816</v>
      </c>
      <c r="D44" s="2">
        <v>424757</v>
      </c>
      <c r="E44" s="2">
        <v>426871</v>
      </c>
      <c r="F44" s="2">
        <v>422663</v>
      </c>
      <c r="G44" s="2">
        <v>429302</v>
      </c>
      <c r="H44" s="2">
        <v>433792</v>
      </c>
      <c r="I44" s="2">
        <v>423709</v>
      </c>
      <c r="J44" s="2">
        <v>434395</v>
      </c>
      <c r="K44" s="2">
        <v>434388</v>
      </c>
      <c r="L44" s="2">
        <v>428933</v>
      </c>
      <c r="M44" s="2">
        <v>435475</v>
      </c>
      <c r="N44" s="2">
        <v>431396</v>
      </c>
      <c r="O44" s="2">
        <v>437271</v>
      </c>
      <c r="P44" s="2">
        <v>435338</v>
      </c>
      <c r="Q44" s="2">
        <v>429097</v>
      </c>
      <c r="R44" s="2">
        <v>427880</v>
      </c>
      <c r="S44" s="2">
        <v>428130</v>
      </c>
      <c r="T44" s="2">
        <v>429273</v>
      </c>
      <c r="U44" s="2">
        <v>432008</v>
      </c>
      <c r="V44" s="2">
        <v>420264</v>
      </c>
      <c r="W44" s="2">
        <f t="shared" si="0"/>
        <v>429185</v>
      </c>
    </row>
    <row r="45" spans="1:23">
      <c r="A45" t="s">
        <v>13</v>
      </c>
      <c r="B45" t="s">
        <v>11</v>
      </c>
      <c r="C45" s="2">
        <v>100701</v>
      </c>
      <c r="D45" s="2">
        <v>106207</v>
      </c>
      <c r="E45" s="2">
        <v>101072</v>
      </c>
      <c r="F45" s="2">
        <v>99871.9</v>
      </c>
      <c r="G45" s="2">
        <v>104990</v>
      </c>
      <c r="H45" s="2">
        <v>99883.7</v>
      </c>
      <c r="I45" s="2">
        <v>103321</v>
      </c>
      <c r="J45" s="2">
        <v>102809</v>
      </c>
      <c r="K45" s="2">
        <v>109553</v>
      </c>
      <c r="L45" s="2">
        <v>99408.4</v>
      </c>
      <c r="M45" s="2">
        <v>103365</v>
      </c>
      <c r="N45" s="2">
        <v>102870</v>
      </c>
      <c r="O45" s="2">
        <v>104815</v>
      </c>
      <c r="P45" s="2">
        <v>106296</v>
      </c>
      <c r="Q45" s="2">
        <v>101574</v>
      </c>
      <c r="R45" s="2">
        <v>97974.9</v>
      </c>
      <c r="S45" s="2">
        <v>103751</v>
      </c>
      <c r="T45" s="2">
        <v>105443</v>
      </c>
      <c r="U45" s="2">
        <v>103963</v>
      </c>
      <c r="V45" s="2">
        <v>102724</v>
      </c>
      <c r="W45" s="2">
        <f t="shared" si="0"/>
        <v>103095.5</v>
      </c>
    </row>
    <row r="46" spans="1:23">
      <c r="A46" t="s">
        <v>10</v>
      </c>
      <c r="B46" t="s">
        <v>11</v>
      </c>
      <c r="C46" s="2">
        <v>624393</v>
      </c>
      <c r="D46" s="2">
        <v>646643</v>
      </c>
      <c r="E46" s="2">
        <v>641565</v>
      </c>
      <c r="F46" s="2">
        <v>630428</v>
      </c>
      <c r="G46" s="2">
        <v>621510</v>
      </c>
      <c r="H46" s="2">
        <v>638673</v>
      </c>
      <c r="I46" s="2">
        <v>644006</v>
      </c>
      <c r="J46" s="2">
        <v>637898</v>
      </c>
      <c r="K46" s="2">
        <v>646934</v>
      </c>
      <c r="L46" s="2">
        <v>655572</v>
      </c>
      <c r="M46" s="2">
        <v>663616</v>
      </c>
      <c r="N46" s="2">
        <v>695763</v>
      </c>
      <c r="O46" s="2">
        <v>656589</v>
      </c>
      <c r="P46" s="2">
        <v>661943</v>
      </c>
      <c r="Q46" s="2">
        <v>638746</v>
      </c>
      <c r="R46" s="2">
        <v>658503</v>
      </c>
      <c r="S46" s="2">
        <v>668667</v>
      </c>
      <c r="T46" s="2">
        <v>646686</v>
      </c>
      <c r="U46" s="2">
        <v>660256</v>
      </c>
      <c r="V46" s="2">
        <v>648935</v>
      </c>
      <c r="W46" s="2">
        <f t="shared" si="0"/>
        <v>646810</v>
      </c>
    </row>
    <row r="47" spans="1:23">
      <c r="A47" t="s">
        <v>12</v>
      </c>
      <c r="B47" t="s">
        <v>11</v>
      </c>
      <c r="C47" s="2">
        <v>504801</v>
      </c>
      <c r="D47" s="2">
        <v>516089</v>
      </c>
      <c r="E47" s="2">
        <v>520467</v>
      </c>
      <c r="F47" s="2">
        <v>508568</v>
      </c>
      <c r="G47" s="2">
        <v>499578</v>
      </c>
      <c r="H47" s="2">
        <v>518192</v>
      </c>
      <c r="I47" s="2">
        <v>524076</v>
      </c>
      <c r="J47" s="2">
        <v>517928</v>
      </c>
      <c r="K47" s="2">
        <v>527002</v>
      </c>
      <c r="L47" s="2">
        <v>533124</v>
      </c>
      <c r="M47" s="2">
        <v>541895</v>
      </c>
      <c r="N47" s="2">
        <v>516737</v>
      </c>
      <c r="O47" s="2">
        <v>535355</v>
      </c>
      <c r="P47" s="2">
        <v>532370</v>
      </c>
      <c r="Q47" s="2">
        <v>516543</v>
      </c>
      <c r="R47" s="2">
        <v>535982</v>
      </c>
      <c r="S47" s="2">
        <v>524013</v>
      </c>
      <c r="T47" s="2">
        <v>525352</v>
      </c>
      <c r="U47" s="2">
        <v>539521</v>
      </c>
      <c r="V47" s="2">
        <v>528841</v>
      </c>
      <c r="W47" s="2">
        <f t="shared" si="0"/>
        <v>524044.5</v>
      </c>
    </row>
    <row r="48" spans="1:23">
      <c r="A48" t="s">
        <v>13</v>
      </c>
      <c r="B48" t="s">
        <v>11</v>
      </c>
      <c r="C48" s="2">
        <v>119362</v>
      </c>
      <c r="D48" s="2">
        <v>130332</v>
      </c>
      <c r="E48" s="2">
        <v>120854</v>
      </c>
      <c r="F48" s="2">
        <v>121620</v>
      </c>
      <c r="G48" s="2">
        <v>121684</v>
      </c>
      <c r="H48" s="2">
        <v>120245</v>
      </c>
      <c r="I48" s="2">
        <v>119707</v>
      </c>
      <c r="J48" s="2">
        <v>119735</v>
      </c>
      <c r="K48" s="2">
        <v>119679</v>
      </c>
      <c r="L48" s="2">
        <v>122212</v>
      </c>
      <c r="M48" s="2">
        <v>121472</v>
      </c>
      <c r="N48" s="2">
        <v>178762</v>
      </c>
      <c r="O48" s="2">
        <v>120999</v>
      </c>
      <c r="P48" s="2">
        <v>129339</v>
      </c>
      <c r="Q48" s="2">
        <v>121971</v>
      </c>
      <c r="R48" s="2">
        <v>122284</v>
      </c>
      <c r="S48" s="2">
        <v>144420</v>
      </c>
      <c r="T48" s="2">
        <v>121102</v>
      </c>
      <c r="U48" s="2">
        <v>120500</v>
      </c>
      <c r="V48" s="2">
        <v>119854</v>
      </c>
      <c r="W48" s="2">
        <f t="shared" si="0"/>
        <v>121287</v>
      </c>
    </row>
    <row r="49" spans="1:23">
      <c r="A49" t="s">
        <v>10</v>
      </c>
      <c r="B49" t="s">
        <v>11</v>
      </c>
      <c r="C49" s="2">
        <v>746390</v>
      </c>
      <c r="D49" s="2">
        <v>748427</v>
      </c>
      <c r="E49" s="2">
        <v>746878</v>
      </c>
      <c r="F49" s="2">
        <v>742274</v>
      </c>
      <c r="G49" s="2">
        <v>754748</v>
      </c>
      <c r="H49" s="2">
        <v>751164</v>
      </c>
      <c r="I49" s="2">
        <v>760531</v>
      </c>
      <c r="J49" s="2">
        <v>747221</v>
      </c>
      <c r="K49" s="2">
        <v>753772</v>
      </c>
      <c r="L49" s="2">
        <v>755936</v>
      </c>
      <c r="M49" s="2">
        <v>738696</v>
      </c>
      <c r="N49" s="2">
        <v>748549</v>
      </c>
      <c r="O49" s="2">
        <v>746735</v>
      </c>
      <c r="P49" s="2">
        <v>750687</v>
      </c>
      <c r="Q49" s="2">
        <v>749108</v>
      </c>
      <c r="R49" s="2">
        <v>1171750</v>
      </c>
      <c r="S49" s="2">
        <v>757217</v>
      </c>
      <c r="T49" s="2">
        <v>1018890</v>
      </c>
      <c r="U49" s="2">
        <v>755489</v>
      </c>
      <c r="V49" s="2">
        <v>764558</v>
      </c>
      <c r="W49" s="2">
        <f t="shared" si="0"/>
        <v>750925.5</v>
      </c>
    </row>
    <row r="50" spans="1:23">
      <c r="A50" t="s">
        <v>12</v>
      </c>
      <c r="B50" t="s">
        <v>11</v>
      </c>
      <c r="C50" s="2">
        <v>610368</v>
      </c>
      <c r="D50" s="2">
        <v>609289</v>
      </c>
      <c r="E50" s="2">
        <v>612215</v>
      </c>
      <c r="F50" s="2">
        <v>606571</v>
      </c>
      <c r="G50" s="2">
        <v>616721</v>
      </c>
      <c r="H50" s="2">
        <v>614808</v>
      </c>
      <c r="I50" s="2">
        <v>625169</v>
      </c>
      <c r="J50" s="2">
        <v>609374</v>
      </c>
      <c r="K50" s="2">
        <v>613567</v>
      </c>
      <c r="L50" s="2">
        <v>618481</v>
      </c>
      <c r="M50" s="2">
        <v>605240</v>
      </c>
      <c r="N50" s="2">
        <v>611323</v>
      </c>
      <c r="O50" s="2">
        <v>611567</v>
      </c>
      <c r="P50" s="2">
        <v>611932</v>
      </c>
      <c r="Q50" s="2">
        <v>611147</v>
      </c>
      <c r="R50" s="2">
        <v>1021330</v>
      </c>
      <c r="S50" s="2">
        <v>616311</v>
      </c>
      <c r="T50" s="2">
        <v>763946</v>
      </c>
      <c r="U50" s="2">
        <v>619756</v>
      </c>
      <c r="V50" s="2">
        <v>615680</v>
      </c>
      <c r="W50" s="2">
        <f t="shared" si="0"/>
        <v>612891</v>
      </c>
    </row>
    <row r="51" spans="1:23">
      <c r="A51" t="s">
        <v>13</v>
      </c>
      <c r="B51" t="s">
        <v>11</v>
      </c>
      <c r="C51" s="2">
        <v>135789</v>
      </c>
      <c r="D51" s="2">
        <v>138896</v>
      </c>
      <c r="E51" s="2">
        <v>134407</v>
      </c>
      <c r="F51" s="2">
        <v>135463</v>
      </c>
      <c r="G51" s="2">
        <v>137768</v>
      </c>
      <c r="H51" s="2">
        <v>136108</v>
      </c>
      <c r="I51" s="2">
        <v>135108</v>
      </c>
      <c r="J51" s="2">
        <v>137594</v>
      </c>
      <c r="K51" s="2">
        <v>139966</v>
      </c>
      <c r="L51" s="2">
        <v>137206</v>
      </c>
      <c r="M51" s="2">
        <v>133207</v>
      </c>
      <c r="N51" s="2">
        <v>136992</v>
      </c>
      <c r="O51" s="2">
        <v>134936</v>
      </c>
      <c r="P51" s="2">
        <v>138512</v>
      </c>
      <c r="Q51" s="2">
        <v>137719</v>
      </c>
      <c r="R51" s="2">
        <v>149923</v>
      </c>
      <c r="S51" s="2">
        <v>140667</v>
      </c>
      <c r="T51" s="2">
        <v>254494</v>
      </c>
      <c r="U51" s="2">
        <v>135495</v>
      </c>
      <c r="V51" s="2">
        <v>148643</v>
      </c>
      <c r="W51" s="2">
        <f t="shared" si="0"/>
        <v>137400</v>
      </c>
    </row>
    <row r="52" spans="1:23">
      <c r="A52" t="s">
        <v>10</v>
      </c>
      <c r="B52" t="s">
        <v>11</v>
      </c>
      <c r="C52" s="2">
        <v>915413</v>
      </c>
      <c r="D52" s="2">
        <v>850429</v>
      </c>
      <c r="E52" s="2">
        <v>855766</v>
      </c>
      <c r="F52" s="2">
        <v>855971</v>
      </c>
      <c r="G52" s="2">
        <v>858005</v>
      </c>
      <c r="H52" s="2">
        <v>842379</v>
      </c>
      <c r="I52" s="2">
        <v>854379</v>
      </c>
      <c r="J52" s="2">
        <v>1327730</v>
      </c>
      <c r="K52" s="2">
        <v>857827</v>
      </c>
      <c r="L52" s="2">
        <v>842938</v>
      </c>
      <c r="M52" s="2">
        <v>1143930</v>
      </c>
      <c r="N52" s="2">
        <v>852688</v>
      </c>
      <c r="O52" s="2">
        <v>860247</v>
      </c>
      <c r="P52" s="2">
        <v>1268920</v>
      </c>
      <c r="Q52" s="2">
        <v>854062</v>
      </c>
      <c r="R52" s="2">
        <v>868815</v>
      </c>
      <c r="S52" s="2">
        <v>852605</v>
      </c>
      <c r="T52" s="2">
        <v>858902</v>
      </c>
      <c r="U52" s="2">
        <v>854106</v>
      </c>
      <c r="V52" s="2">
        <v>850867</v>
      </c>
      <c r="W52" s="2">
        <f t="shared" si="0"/>
        <v>855868.5</v>
      </c>
    </row>
    <row r="53" spans="1:23">
      <c r="A53" t="s">
        <v>12</v>
      </c>
      <c r="B53" t="s">
        <v>11</v>
      </c>
      <c r="C53" s="2">
        <v>690515</v>
      </c>
      <c r="D53" s="2">
        <v>696909</v>
      </c>
      <c r="E53" s="2">
        <v>706436</v>
      </c>
      <c r="F53" s="2">
        <v>702694</v>
      </c>
      <c r="G53" s="2">
        <v>706795</v>
      </c>
      <c r="H53" s="2">
        <v>690414</v>
      </c>
      <c r="I53" s="2">
        <v>698208</v>
      </c>
      <c r="J53" s="2">
        <v>1152960</v>
      </c>
      <c r="K53" s="2">
        <v>702374</v>
      </c>
      <c r="L53" s="2">
        <v>691502</v>
      </c>
      <c r="M53" s="2">
        <v>927710</v>
      </c>
      <c r="N53" s="2">
        <v>698576</v>
      </c>
      <c r="O53" s="2">
        <v>706055</v>
      </c>
      <c r="P53" s="2">
        <v>1102400</v>
      </c>
      <c r="Q53" s="2">
        <v>696707</v>
      </c>
      <c r="R53" s="2">
        <v>708371</v>
      </c>
      <c r="S53" s="2">
        <v>697254</v>
      </c>
      <c r="T53" s="2">
        <v>705322</v>
      </c>
      <c r="U53" s="2">
        <v>700804</v>
      </c>
      <c r="V53" s="2">
        <v>698104</v>
      </c>
      <c r="W53" s="2">
        <f t="shared" si="0"/>
        <v>701589</v>
      </c>
    </row>
    <row r="54" spans="1:23">
      <c r="A54" t="s">
        <v>13</v>
      </c>
      <c r="B54" t="s">
        <v>11</v>
      </c>
      <c r="C54" s="2">
        <v>224651</v>
      </c>
      <c r="D54" s="2">
        <v>153262</v>
      </c>
      <c r="E54" s="2">
        <v>149083</v>
      </c>
      <c r="F54" s="2">
        <v>153029</v>
      </c>
      <c r="G54" s="2">
        <v>150953</v>
      </c>
      <c r="H54" s="2">
        <v>151708</v>
      </c>
      <c r="I54" s="2">
        <v>155901</v>
      </c>
      <c r="J54" s="2">
        <v>174293</v>
      </c>
      <c r="K54" s="2">
        <v>155190</v>
      </c>
      <c r="L54" s="2">
        <v>151173</v>
      </c>
      <c r="M54" s="2">
        <v>215727</v>
      </c>
      <c r="N54" s="2">
        <v>153872</v>
      </c>
      <c r="O54" s="2">
        <v>153951</v>
      </c>
      <c r="P54" s="2">
        <v>166051</v>
      </c>
      <c r="Q54" s="2">
        <v>157081</v>
      </c>
      <c r="R54" s="2">
        <v>160179</v>
      </c>
      <c r="S54" s="2">
        <v>155091</v>
      </c>
      <c r="T54" s="2">
        <v>153293</v>
      </c>
      <c r="U54" s="2">
        <v>153036</v>
      </c>
      <c r="V54" s="2">
        <v>152506</v>
      </c>
      <c r="W54" s="2">
        <f t="shared" si="0"/>
        <v>153911.5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1545-BF9C-47AD-B873-3C69E91E93BB}">
  <sheetPr codeName="Sheet3"/>
  <dimension ref="A3:N22"/>
  <sheetViews>
    <sheetView workbookViewId="0">
      <selection activeCell="N12" sqref="N12"/>
    </sheetView>
  </sheetViews>
  <sheetFormatPr defaultRowHeight="15"/>
  <cols>
    <col min="2" max="2" width="24.5703125" customWidth="1"/>
    <col min="3" max="3" width="14.140625" customWidth="1"/>
    <col min="4" max="4" width="14" style="2" customWidth="1"/>
    <col min="5" max="5" width="9.42578125" customWidth="1"/>
    <col min="6" max="6" width="10.7109375" customWidth="1"/>
    <col min="7" max="7" width="14" style="2" customWidth="1"/>
    <col min="8" max="8" width="9.85546875" customWidth="1"/>
    <col min="9" max="9" width="10.7109375" customWidth="1"/>
    <col min="10" max="10" width="16.85546875" style="2" customWidth="1"/>
    <col min="14" max="14" width="20" customWidth="1"/>
  </cols>
  <sheetData>
    <row r="3" spans="1:14" ht="15.75" thickBot="1">
      <c r="B3" s="47"/>
      <c r="C3" s="48" t="s">
        <v>9</v>
      </c>
      <c r="D3" s="48"/>
      <c r="F3" s="48" t="s">
        <v>8</v>
      </c>
      <c r="G3" s="48"/>
      <c r="I3" s="56" t="s">
        <v>2</v>
      </c>
      <c r="J3" s="56"/>
    </row>
    <row r="4" spans="1:14">
      <c r="B4" s="49"/>
      <c r="C4" s="50" t="s">
        <v>21</v>
      </c>
      <c r="D4" s="65" t="s">
        <v>22</v>
      </c>
      <c r="F4" s="49" t="s">
        <v>21</v>
      </c>
      <c r="G4" s="65" t="s">
        <v>22</v>
      </c>
      <c r="I4" s="49" t="s">
        <v>21</v>
      </c>
      <c r="J4" s="65" t="s">
        <v>22</v>
      </c>
      <c r="N4" t="s">
        <v>50</v>
      </c>
    </row>
    <row r="5" spans="1:14">
      <c r="B5" s="51" t="s">
        <v>23</v>
      </c>
      <c r="C5" s="43">
        <v>1000</v>
      </c>
      <c r="D5" s="66">
        <v>12862.041999999999</v>
      </c>
      <c r="F5" s="51">
        <v>1000</v>
      </c>
      <c r="G5" s="69">
        <v>2400.4760000000001</v>
      </c>
      <c r="I5" s="51">
        <v>1000</v>
      </c>
      <c r="J5" s="66">
        <v>6726.49</v>
      </c>
      <c r="N5" t="s">
        <v>51</v>
      </c>
    </row>
    <row r="6" spans="1:14">
      <c r="B6" s="51" t="s">
        <v>24</v>
      </c>
      <c r="C6" s="43">
        <v>1422</v>
      </c>
      <c r="D6" s="67">
        <v>10811.821378340301</v>
      </c>
      <c r="F6" s="51">
        <v>1991</v>
      </c>
      <c r="G6" s="67">
        <v>972.47413360120504</v>
      </c>
      <c r="I6" s="51">
        <v>1000</v>
      </c>
      <c r="J6" s="67">
        <v>353.86399999999998</v>
      </c>
    </row>
    <row r="7" spans="1:14">
      <c r="B7" s="51" t="s">
        <v>20</v>
      </c>
      <c r="C7" s="43">
        <v>1403</v>
      </c>
      <c r="D7" s="67">
        <v>10498.4832501781</v>
      </c>
      <c r="F7" s="51">
        <v>1991</v>
      </c>
      <c r="G7" s="67">
        <v>460.754897036665</v>
      </c>
      <c r="I7" s="51">
        <v>0</v>
      </c>
      <c r="J7" s="66"/>
    </row>
    <row r="8" spans="1:14">
      <c r="B8" s="51"/>
      <c r="C8" s="43"/>
      <c r="D8" s="66"/>
      <c r="F8" s="51"/>
      <c r="G8" s="66"/>
      <c r="I8" s="51"/>
      <c r="J8" s="66"/>
    </row>
    <row r="9" spans="1:14">
      <c r="B9" s="51" t="s">
        <v>23</v>
      </c>
      <c r="C9" s="43">
        <v>1000</v>
      </c>
      <c r="D9" s="66">
        <v>12680.674000000001</v>
      </c>
      <c r="F9" s="51">
        <v>1000</v>
      </c>
      <c r="G9" s="69">
        <v>2317.933</v>
      </c>
      <c r="I9" s="51">
        <v>1000</v>
      </c>
      <c r="J9" s="66">
        <v>7050.4920000000002</v>
      </c>
    </row>
    <row r="10" spans="1:14">
      <c r="B10" s="51" t="s">
        <v>24</v>
      </c>
      <c r="C10" s="43">
        <v>1447</v>
      </c>
      <c r="D10" s="66">
        <v>10779.550103662699</v>
      </c>
      <c r="F10" s="51">
        <v>1988</v>
      </c>
      <c r="G10" s="69">
        <v>934.946680080482</v>
      </c>
      <c r="I10" s="51">
        <v>1001</v>
      </c>
      <c r="J10" s="66">
        <v>389.840159840159</v>
      </c>
    </row>
    <row r="11" spans="1:14">
      <c r="B11" s="51" t="s">
        <v>20</v>
      </c>
      <c r="C11" s="43">
        <v>1438</v>
      </c>
      <c r="D11" s="66">
        <v>10374.669680111199</v>
      </c>
      <c r="F11" s="51">
        <v>1984</v>
      </c>
      <c r="G11" s="69">
        <v>451.53679435483798</v>
      </c>
      <c r="I11" s="51">
        <v>0</v>
      </c>
      <c r="J11" s="66"/>
    </row>
    <row r="12" spans="1:14">
      <c r="B12" s="51"/>
      <c r="C12" s="43"/>
      <c r="D12" s="66"/>
      <c r="F12" s="51"/>
      <c r="G12" s="66"/>
      <c r="I12" s="51"/>
      <c r="J12" s="66"/>
    </row>
    <row r="13" spans="1:14">
      <c r="B13" s="51" t="s">
        <v>23</v>
      </c>
      <c r="C13" s="43">
        <v>1000</v>
      </c>
      <c r="D13" s="66">
        <v>13134.384</v>
      </c>
      <c r="F13" s="51">
        <v>1000</v>
      </c>
      <c r="G13" s="69">
        <v>2369.9690000000001</v>
      </c>
      <c r="I13" s="51">
        <v>1000</v>
      </c>
      <c r="J13" s="66">
        <v>6708.3370000000004</v>
      </c>
    </row>
    <row r="14" spans="1:14">
      <c r="B14" s="51" t="s">
        <v>24</v>
      </c>
      <c r="C14" s="43">
        <v>1544</v>
      </c>
      <c r="D14" s="66">
        <v>9304.7674870466308</v>
      </c>
      <c r="F14" s="54">
        <v>1984</v>
      </c>
      <c r="G14" s="69">
        <v>961.63356854838696</v>
      </c>
      <c r="I14" s="51">
        <v>1000</v>
      </c>
      <c r="J14" s="66">
        <v>364.36099999999999</v>
      </c>
    </row>
    <row r="15" spans="1:14" ht="15.75" thickBot="1">
      <c r="B15" s="52" t="s">
        <v>20</v>
      </c>
      <c r="C15" s="53">
        <v>1287</v>
      </c>
      <c r="D15" s="68">
        <v>10805.3908313908</v>
      </c>
      <c r="F15" s="55">
        <v>1982</v>
      </c>
      <c r="G15" s="70">
        <v>449.87891019172503</v>
      </c>
      <c r="I15" s="52">
        <v>0</v>
      </c>
      <c r="J15" s="68"/>
    </row>
    <row r="16" spans="1:14">
      <c r="A16" s="22"/>
      <c r="B16" s="22"/>
      <c r="C16" s="22"/>
      <c r="D16" s="16"/>
      <c r="E16" s="22"/>
      <c r="F16" s="22"/>
      <c r="G16" s="16"/>
      <c r="H16" s="22"/>
      <c r="I16" s="22"/>
      <c r="J16" s="16"/>
      <c r="K16" s="22"/>
    </row>
    <row r="17" spans="1:11">
      <c r="A17" s="22"/>
      <c r="B17" s="22"/>
      <c r="C17" s="22"/>
      <c r="D17" s="16"/>
      <c r="E17" s="22"/>
      <c r="F17" s="22"/>
      <c r="G17" s="16"/>
      <c r="H17" s="22"/>
      <c r="I17" s="22"/>
      <c r="J17" s="16"/>
      <c r="K17" s="22"/>
    </row>
    <row r="18" spans="1:11">
      <c r="A18" s="22"/>
      <c r="B18" s="22"/>
      <c r="C18" s="22"/>
      <c r="D18" s="16"/>
      <c r="E18" s="22"/>
      <c r="F18" s="46"/>
      <c r="G18" s="71"/>
      <c r="H18" s="22"/>
      <c r="I18" s="22"/>
      <c r="J18" s="16"/>
      <c r="K18" s="22"/>
    </row>
    <row r="19" spans="1:11" ht="168" customHeight="1">
      <c r="A19" s="22"/>
      <c r="B19" s="57" t="s">
        <v>25</v>
      </c>
      <c r="C19" s="58"/>
      <c r="D19" s="58"/>
      <c r="E19" s="58"/>
      <c r="F19" s="58"/>
      <c r="G19" s="58"/>
      <c r="H19" s="58"/>
      <c r="I19" s="58"/>
      <c r="J19" s="58"/>
      <c r="K19" s="22"/>
    </row>
    <row r="20" spans="1:11">
      <c r="A20" s="22"/>
      <c r="B20" s="22" t="s">
        <v>49</v>
      </c>
      <c r="C20" s="22"/>
      <c r="D20" s="16"/>
      <c r="E20" s="22"/>
      <c r="F20" s="22"/>
      <c r="G20" s="16"/>
      <c r="H20" s="22"/>
      <c r="I20" s="22"/>
      <c r="J20" s="16"/>
      <c r="K20" s="22"/>
    </row>
    <row r="22" spans="1:11" ht="66" customHeight="1">
      <c r="B22" s="45" t="s">
        <v>46</v>
      </c>
      <c r="C22" s="44"/>
      <c r="D22" s="44"/>
      <c r="E22" s="44"/>
      <c r="F22" s="44"/>
      <c r="G22" s="44"/>
      <c r="H22" s="44"/>
    </row>
  </sheetData>
  <mergeCells count="5">
    <mergeCell ref="B22:H22"/>
    <mergeCell ref="C3:D3"/>
    <mergeCell ref="F3:G3"/>
    <mergeCell ref="I3:J3"/>
    <mergeCell ref="B19:J1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Feedback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Tao, Shaoyu</dc:creator>
  <cp:lastModifiedBy>Tao, Shaoyu</cp:lastModifiedBy>
  <dcterms:created xsi:type="dcterms:W3CDTF">2022-07-25T04:58:26Z</dcterms:created>
  <dcterms:modified xsi:type="dcterms:W3CDTF">2022-08-09T06:22:26Z</dcterms:modified>
</cp:coreProperties>
</file>